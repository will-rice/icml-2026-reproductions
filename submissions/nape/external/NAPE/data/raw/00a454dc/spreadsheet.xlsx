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</font>
    <font>
      <b val="1"/>
      <i val="1"/>
      <color rgb="00212121"/>
    </font>
  </fonts>
  <fills count="8">
    <fill>
      <patternFill/>
    </fill>
    <fill>
      <patternFill patternType="gray125"/>
    </fill>
    <fill>
      <patternFill patternType="solid">
        <fgColor rgb="00DAE3F4"/>
        <bgColor rgb="00DAE3F4"/>
      </patternFill>
    </fill>
    <fill>
      <patternFill patternType="solid">
        <fgColor rgb="00F8CCAD"/>
        <bgColor rgb="00F8CCAD"/>
      </patternFill>
    </fill>
    <fill>
      <patternFill patternType="solid">
        <fgColor rgb="00C6E1B4"/>
        <bgColor rgb="00C6E1B4"/>
      </patternFill>
    </fill>
    <fill>
      <patternFill patternType="solid">
        <fgColor rgb="00FFDA66"/>
        <bgColor rgb="00FFDA66"/>
      </patternFill>
    </fill>
    <fill>
      <patternFill patternType="solid">
        <fgColor rgb="00FFE69A"/>
        <bgColor rgb="00FFE69A"/>
      </patternFill>
    </fill>
    <fill>
      <patternFill patternType="solid">
        <fgColor rgb="00FFF3CD"/>
        <bgColor rgb="00FFF3CD"/>
      </patternFill>
    </fill>
  </fills>
  <borders count="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0" fillId="0" borderId="4" pivotButton="0" quotePrefix="0" xfId="0"/>
    <xf numFmtId="0" fontId="1" fillId="6" borderId="1" applyAlignment="1" pivotButton="0" quotePrefix="0" xfId="0">
      <alignment horizontal="center"/>
    </xf>
    <xf numFmtId="0" fontId="1" fillId="7" borderId="1" applyAlignment="1" pivotButton="0" quotePrefix="0" xfId="0">
      <alignment horizontal="center"/>
    </xf>
    <xf numFmtId="0" fontId="1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0" pivotButton="0" quotePrefix="0" xfId="0"/>
    <xf numFmtId="0" fontId="0" fillId="5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  <xf numFmtId="0" fontId="0" fillId="7" borderId="1" applyAlignment="1" pivotButton="0" quotePrefix="0" xfId="0">
      <alignment horizontal="center"/>
    </xf>
    <xf numFmtId="0" fontId="0" fillId="3" borderId="0" pivotButton="0" quotePrefix="0" xfId="0"/>
    <xf numFmtId="1" fontId="0" fillId="5" borderId="1" applyAlignment="1" pivotButton="0" quotePrefix="0" xfId="0">
      <alignment horizontal="center"/>
    </xf>
    <xf numFmtId="0" fontId="0" fillId="4" borderId="0" pivotButton="0" quotePrefix="0" xfId="0"/>
    <xf numFmtId="2" fontId="0" fillId="5" borderId="1" applyAlignment="1" pivotButton="0" quotePrefix="0" xfId="0">
      <alignment horizontal="center"/>
    </xf>
    <xf numFmtId="1" fontId="0" fillId="6" borderId="1" applyAlignment="1" pivotButton="0" quotePrefix="0" xfId="0">
      <alignment horizontal="center"/>
    </xf>
    <xf numFmtId="1" fontId="0" fillId="7" borderId="1" applyAlignment="1" pivotButton="0" quotePrefix="0" xfId="0">
      <alignment horizontal="center"/>
    </xf>
    <xf numFmtId="164" fontId="0" fillId="5" borderId="1" applyAlignment="1" pivotButton="0" quotePrefix="0" xfId="0">
      <alignment horizontal="center"/>
    </xf>
    <xf numFmtId="164" fontId="0" fillId="6" borderId="1" applyAlignment="1" pivotButton="0" quotePrefix="0" xfId="0">
      <alignment horizontal="center"/>
    </xf>
    <xf numFmtId="164" fontId="0" fillId="7" borderId="1" applyAlignment="1" pivotButton="0" quotePrefix="0" xfId="0">
      <alignment horizontal="center"/>
    </xf>
    <xf numFmtId="2" fontId="0" fillId="6" borderId="1" applyAlignment="1" pivotButton="0" quotePrefix="0" xfId="0">
      <alignment horizontal="center"/>
    </xf>
    <xf numFmtId="2" fontId="0" fillId="7" borderId="1" applyAlignment="1" pivotButton="0" quotePrefix="0" xfId="0">
      <alignment horizontal="center"/>
    </xf>
    <xf numFmtId="0" fontId="0" fillId="0" borderId="1" pivotButton="0" quotePrefix="0" xfId="0"/>
    <xf numFmtId="1" fontId="0" fillId="0" borderId="0" applyAlignment="1" pivotButton="0" quotePrefix="0" xfId="0">
      <alignment horizontal="center"/>
    </xf>
    <xf numFmtId="0" fontId="2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9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9.140625" customWidth="1" min="1" max="1"/>
    <col width="13.85546875" customWidth="1" min="2" max="2"/>
    <col width="31" customWidth="1" min="3" max="3"/>
    <col width="10.5703125" customWidth="1" min="4" max="4"/>
    <col width="10.85546875" customWidth="1" min="6" max="6"/>
    <col width="10.140625" customWidth="1" min="7" max="7"/>
    <col width="12.28515625" customWidth="1" min="13" max="13"/>
    <col width="10.140625" customWidth="1" min="14" max="14"/>
    <col width="10.28515625" customWidth="1" min="15" max="15"/>
    <col width="9.85546875" customWidth="1" min="16" max="16"/>
  </cols>
  <sheetData>
    <row r="1">
      <c r="B1" s="1" t="inlineStr">
        <is>
          <t>Base Scenario</t>
        </is>
      </c>
      <c r="C1" s="2" t="n"/>
      <c r="D1" s="3" t="inlineStr">
        <is>
          <t>A</t>
        </is>
      </c>
      <c r="E1" s="4" t="inlineStr">
        <is>
          <t>B</t>
        </is>
      </c>
      <c r="F1" s="3" t="inlineStr">
        <is>
          <t>C</t>
        </is>
      </c>
      <c r="G1" s="4" t="inlineStr">
        <is>
          <t>D</t>
        </is>
      </c>
      <c r="H1" s="3" t="inlineStr">
        <is>
          <t>E</t>
        </is>
      </c>
      <c r="I1" s="4" t="inlineStr">
        <is>
          <t>F</t>
        </is>
      </c>
      <c r="J1" s="3" t="inlineStr">
        <is>
          <t>G</t>
        </is>
      </c>
      <c r="K1" s="4" t="inlineStr">
        <is>
          <t>H</t>
        </is>
      </c>
      <c r="M1" s="3" t="inlineStr">
        <is>
          <t>A</t>
        </is>
      </c>
      <c r="N1" s="4" t="inlineStr">
        <is>
          <t>B</t>
        </is>
      </c>
      <c r="O1" s="3" t="inlineStr">
        <is>
          <t>C</t>
        </is>
      </c>
      <c r="P1" s="4" t="inlineStr">
        <is>
          <t>D</t>
        </is>
      </c>
      <c r="Q1" s="3" t="inlineStr">
        <is>
          <t>E</t>
        </is>
      </c>
      <c r="R1" s="4" t="inlineStr">
        <is>
          <t>F</t>
        </is>
      </c>
      <c r="S1" s="3" t="inlineStr">
        <is>
          <t>G</t>
        </is>
      </c>
      <c r="T1" s="4" t="inlineStr">
        <is>
          <t>H</t>
        </is>
      </c>
    </row>
    <row r="2">
      <c r="A2" s="5" t="inlineStr">
        <is>
          <t>Item</t>
        </is>
      </c>
      <c r="B2" s="6" t="n"/>
      <c r="C2" s="6" t="inlineStr">
        <is>
          <t>Units</t>
        </is>
      </c>
      <c r="D2" s="7" t="n"/>
      <c r="E2" s="7" t="n"/>
      <c r="F2" s="7" t="n"/>
      <c r="G2" s="7" t="n"/>
      <c r="H2" s="7" t="n"/>
      <c r="I2" s="7" t="n"/>
      <c r="J2" s="7" t="n"/>
      <c r="K2" s="7" t="n"/>
      <c r="M2" s="7" t="inlineStr">
        <is>
          <t>% Change</t>
        </is>
      </c>
      <c r="N2" s="7" t="inlineStr">
        <is>
          <t>% Change</t>
        </is>
      </c>
      <c r="O2" s="7" t="inlineStr">
        <is>
          <t>% Change</t>
        </is>
      </c>
      <c r="P2" s="7" t="inlineStr">
        <is>
          <t>% Change</t>
        </is>
      </c>
      <c r="Q2" s="7" t="inlineStr">
        <is>
          <t>% Change</t>
        </is>
      </c>
      <c r="R2" s="7" t="inlineStr">
        <is>
          <t>% Change</t>
        </is>
      </c>
      <c r="S2" s="7" t="inlineStr">
        <is>
          <t>% Change</t>
        </is>
      </c>
      <c r="T2" s="7" t="inlineStr">
        <is>
          <t>% Change</t>
        </is>
      </c>
    </row>
    <row r="3">
      <c r="A3" s="8" t="inlineStr">
        <is>
          <t xml:space="preserve">Weaning weight </t>
        </is>
      </c>
      <c r="B3" s="9" t="n">
        <v>50</v>
      </c>
      <c r="C3" t="inlineStr">
        <is>
          <t>lb</t>
        </is>
      </c>
      <c r="D3" s="10">
        <f>$B3</f>
        <v/>
      </c>
      <c r="E3" s="11">
        <f>$B3</f>
        <v/>
      </c>
      <c r="F3" s="10">
        <f>$B3</f>
        <v/>
      </c>
      <c r="G3" s="11">
        <f>$B3</f>
        <v/>
      </c>
      <c r="H3" s="10">
        <f>$B3</f>
        <v/>
      </c>
      <c r="I3" s="11">
        <f>$B3</f>
        <v/>
      </c>
      <c r="J3" s="10">
        <f>$B3</f>
        <v/>
      </c>
      <c r="K3" s="11">
        <f>$B3</f>
        <v/>
      </c>
      <c r="M3" s="10">
        <f>(D3/$B3-1)*100</f>
        <v/>
      </c>
      <c r="N3" s="10">
        <f>(E3/$B3-1)*100</f>
        <v/>
      </c>
      <c r="O3" s="10">
        <f>(F3/$B3-1)*100</f>
        <v/>
      </c>
      <c r="P3" s="10">
        <f>(G3/$B3-1)*100</f>
        <v/>
      </c>
      <c r="Q3" s="10">
        <f>(H3/$B3-1)*100</f>
        <v/>
      </c>
      <c r="R3" s="10">
        <f>(I3/$B3-1)*100</f>
        <v/>
      </c>
      <c r="S3" s="10">
        <f>(J3/$B3-1)*100</f>
        <v/>
      </c>
      <c r="T3" s="10">
        <f>(K3/$B3-1)*100</f>
        <v/>
      </c>
    </row>
    <row r="4">
      <c r="A4" s="8" t="inlineStr">
        <is>
          <t xml:space="preserve">Weaning age </t>
        </is>
      </c>
      <c r="B4" s="9" t="n">
        <v>65</v>
      </c>
      <c r="C4" t="inlineStr">
        <is>
          <t>days</t>
        </is>
      </c>
      <c r="D4" s="10">
        <f>$B4</f>
        <v/>
      </c>
      <c r="E4" s="11">
        <f>$B4</f>
        <v/>
      </c>
      <c r="F4" s="10">
        <f>$B4</f>
        <v/>
      </c>
      <c r="G4" s="11">
        <f>$B4</f>
        <v/>
      </c>
      <c r="H4" s="10">
        <f>$B4</f>
        <v/>
      </c>
      <c r="I4" s="11">
        <f>$B4</f>
        <v/>
      </c>
      <c r="J4" s="10">
        <f>$B4</f>
        <v/>
      </c>
      <c r="K4" s="11">
        <f>$B4</f>
        <v/>
      </c>
      <c r="M4" s="10">
        <f>(D4/$B4-1)*100</f>
        <v/>
      </c>
      <c r="N4" s="10">
        <f>(E4/$B4-1)*100</f>
        <v/>
      </c>
      <c r="O4" s="10">
        <f>(F4/$B4-1)*100</f>
        <v/>
      </c>
      <c r="P4" s="10">
        <f>(G4/$B4-1)*100</f>
        <v/>
      </c>
      <c r="Q4" s="10">
        <f>(H4/$B4-1)*100</f>
        <v/>
      </c>
      <c r="R4" s="10">
        <f>(I4/$B4-1)*100</f>
        <v/>
      </c>
      <c r="S4" s="10">
        <f>(J4/$B4-1)*100</f>
        <v/>
      </c>
      <c r="T4" s="10">
        <f>(K4/$B4-1)*100</f>
        <v/>
      </c>
    </row>
    <row r="5">
      <c r="A5" s="8" t="inlineStr">
        <is>
          <t xml:space="preserve">Number of days creep fed </t>
        </is>
      </c>
      <c r="B5" s="9" t="n">
        <v>0</v>
      </c>
      <c r="C5" t="inlineStr">
        <is>
          <t>days</t>
        </is>
      </c>
      <c r="D5" s="10">
        <f>$B5</f>
        <v/>
      </c>
      <c r="E5" s="11">
        <f>$B5</f>
        <v/>
      </c>
      <c r="F5" s="10">
        <f>$B5</f>
        <v/>
      </c>
      <c r="G5" s="11">
        <f>$B5</f>
        <v/>
      </c>
      <c r="H5" s="10">
        <f>$B5</f>
        <v/>
      </c>
      <c r="I5" s="11">
        <f>$B5</f>
        <v/>
      </c>
      <c r="J5" s="10">
        <f>$B5</f>
        <v/>
      </c>
      <c r="K5" s="11">
        <f>$B5</f>
        <v/>
      </c>
      <c r="M5" s="10">
        <f>(D5/$B5-1)*100</f>
        <v/>
      </c>
      <c r="N5" s="10">
        <f>(E5/$B5-1)*100</f>
        <v/>
      </c>
      <c r="O5" s="10">
        <f>(F5/$B5-1)*100</f>
        <v/>
      </c>
      <c r="P5" s="10">
        <f>(G5/$B5-1)*100</f>
        <v/>
      </c>
      <c r="Q5" s="10">
        <f>(H5/$B5-1)*100</f>
        <v/>
      </c>
      <c r="R5" s="10">
        <f>(I5/$B5-1)*100</f>
        <v/>
      </c>
      <c r="S5" s="10">
        <f>(J5/$B5-1)*100</f>
        <v/>
      </c>
      <c r="T5" s="10">
        <f>(K5/$B5-1)*100</f>
        <v/>
      </c>
    </row>
    <row r="6">
      <c r="A6" s="8" t="inlineStr">
        <is>
          <t xml:space="preserve">Pounds creep fed per day </t>
        </is>
      </c>
      <c r="B6" s="9" t="n">
        <v>0.4</v>
      </c>
      <c r="C6" t="inlineStr">
        <is>
          <t>lb DM/day</t>
        </is>
      </c>
      <c r="D6" s="10">
        <f>$B6</f>
        <v/>
      </c>
      <c r="E6" s="11">
        <f>$B6</f>
        <v/>
      </c>
      <c r="F6" s="10">
        <f>$B6</f>
        <v/>
      </c>
      <c r="G6" s="11">
        <f>$B6</f>
        <v/>
      </c>
      <c r="H6" s="10">
        <f>$B6</f>
        <v/>
      </c>
      <c r="I6" s="11">
        <f>$B6</f>
        <v/>
      </c>
      <c r="J6" s="10">
        <f>$B6</f>
        <v/>
      </c>
      <c r="K6" s="11">
        <f>$B6</f>
        <v/>
      </c>
      <c r="M6" s="10">
        <f>(D6/$B6-1)*100</f>
        <v/>
      </c>
      <c r="N6" s="10">
        <f>(E6/$B6-1)*100</f>
        <v/>
      </c>
      <c r="O6" s="10">
        <f>(F6/$B6-1)*100</f>
        <v/>
      </c>
      <c r="P6" s="10">
        <f>(G6/$B6-1)*100</f>
        <v/>
      </c>
      <c r="Q6" s="10">
        <f>(H6/$B6-1)*100</f>
        <v/>
      </c>
      <c r="R6" s="10">
        <f>(I6/$B6-1)*100</f>
        <v/>
      </c>
      <c r="S6" s="10">
        <f>(J6/$B6-1)*100</f>
        <v/>
      </c>
      <c r="T6" s="10">
        <f>(K6/$B6-1)*100</f>
        <v/>
      </c>
    </row>
    <row r="7">
      <c r="A7" s="8" t="inlineStr">
        <is>
          <t>Creep feed price</t>
        </is>
      </c>
      <c r="B7" s="9" t="n">
        <v>0.15</v>
      </c>
      <c r="C7" t="inlineStr">
        <is>
          <t>$/lb DM</t>
        </is>
      </c>
      <c r="D7" s="10">
        <f>$B7</f>
        <v/>
      </c>
      <c r="E7" s="11">
        <f>$B7</f>
        <v/>
      </c>
      <c r="F7" s="10">
        <f>$B7</f>
        <v/>
      </c>
      <c r="G7" s="11">
        <f>$B7</f>
        <v/>
      </c>
      <c r="H7" s="10">
        <f>$B7</f>
        <v/>
      </c>
      <c r="I7" s="11">
        <f>$B7</f>
        <v/>
      </c>
      <c r="J7" s="10">
        <f>$B7</f>
        <v/>
      </c>
      <c r="K7" s="11">
        <f>$B7</f>
        <v/>
      </c>
      <c r="M7" s="10">
        <f>(D7/$B7-1)*100</f>
        <v/>
      </c>
      <c r="N7" s="10">
        <f>(E7/$B7-1)*100</f>
        <v/>
      </c>
      <c r="O7" s="10">
        <f>(F7/$B7-1)*100</f>
        <v/>
      </c>
      <c r="P7" s="10">
        <f>(G7/$B7-1)*100</f>
        <v/>
      </c>
      <c r="Q7" s="10">
        <f>(H7/$B7-1)*100</f>
        <v/>
      </c>
      <c r="R7" s="10">
        <f>(I7/$B7-1)*100</f>
        <v/>
      </c>
      <c r="S7" s="10">
        <f>(J7/$B7-1)*100</f>
        <v/>
      </c>
      <c r="T7" s="10">
        <f>(K7/$B7-1)*100</f>
        <v/>
      </c>
    </row>
    <row r="8">
      <c r="A8" s="8" t="inlineStr">
        <is>
          <t xml:space="preserve">Number of days fed hay </t>
        </is>
      </c>
      <c r="B8" s="9" t="n">
        <v>0</v>
      </c>
      <c r="C8" t="inlineStr">
        <is>
          <t>days</t>
        </is>
      </c>
      <c r="D8" s="10">
        <f>$B8</f>
        <v/>
      </c>
      <c r="E8" s="11">
        <f>$B8</f>
        <v/>
      </c>
      <c r="F8" s="10">
        <f>$B8</f>
        <v/>
      </c>
      <c r="G8" s="11">
        <f>$B8</f>
        <v/>
      </c>
      <c r="H8" s="10">
        <f>$B8</f>
        <v/>
      </c>
      <c r="I8" s="11">
        <f>$B8</f>
        <v/>
      </c>
      <c r="J8" s="10">
        <f>$B8</f>
        <v/>
      </c>
      <c r="K8" s="11">
        <f>$B8</f>
        <v/>
      </c>
      <c r="M8" s="10">
        <f>(D8/$B8-1)*100</f>
        <v/>
      </c>
      <c r="N8" s="10">
        <f>(E8/$B8-1)*100</f>
        <v/>
      </c>
      <c r="O8" s="10">
        <f>(F8/$B8-1)*100</f>
        <v/>
      </c>
      <c r="P8" s="10">
        <f>(G8/$B8-1)*100</f>
        <v/>
      </c>
      <c r="Q8" s="10">
        <f>(H8/$B8-1)*100</f>
        <v/>
      </c>
      <c r="R8" s="10">
        <f>(I8/$B8-1)*100</f>
        <v/>
      </c>
      <c r="S8" s="10">
        <f>(J8/$B8-1)*100</f>
        <v/>
      </c>
      <c r="T8" s="10">
        <f>(K8/$B8-1)*100</f>
        <v/>
      </c>
    </row>
    <row r="9">
      <c r="A9" s="8" t="inlineStr">
        <is>
          <t xml:space="preserve">Pounds of hay fed per day </t>
        </is>
      </c>
      <c r="B9" s="9" t="n">
        <v>0.2</v>
      </c>
      <c r="C9" t="inlineStr">
        <is>
          <t>lb DM/day</t>
        </is>
      </c>
      <c r="D9" s="10">
        <f>$B9</f>
        <v/>
      </c>
      <c r="E9" s="11">
        <f>$B9</f>
        <v/>
      </c>
      <c r="F9" s="10">
        <f>$B9</f>
        <v/>
      </c>
      <c r="G9" s="11">
        <f>$B9</f>
        <v/>
      </c>
      <c r="H9" s="10">
        <f>$B9</f>
        <v/>
      </c>
      <c r="I9" s="11">
        <f>$B9</f>
        <v/>
      </c>
      <c r="J9" s="10">
        <f>$B9</f>
        <v/>
      </c>
      <c r="K9" s="11">
        <f>$B9</f>
        <v/>
      </c>
      <c r="M9" s="10">
        <f>(D9/$B9-1)*100</f>
        <v/>
      </c>
      <c r="N9" s="10">
        <f>(E9/$B9-1)*100</f>
        <v/>
      </c>
      <c r="O9" s="10">
        <f>(F9/$B9-1)*100</f>
        <v/>
      </c>
      <c r="P9" s="10">
        <f>(G9/$B9-1)*100</f>
        <v/>
      </c>
      <c r="Q9" s="10">
        <f>(H9/$B9-1)*100</f>
        <v/>
      </c>
      <c r="R9" s="10">
        <f>(I9/$B9-1)*100</f>
        <v/>
      </c>
      <c r="S9" s="10">
        <f>(J9/$B9-1)*100</f>
        <v/>
      </c>
      <c r="T9" s="10">
        <f>(K9/$B9-1)*100</f>
        <v/>
      </c>
    </row>
    <row r="10">
      <c r="A10" s="8" t="inlineStr">
        <is>
          <t>Hay price for pre-weaned lambs</t>
        </is>
      </c>
      <c r="B10" s="9" t="n">
        <v>0.07000000000000001</v>
      </c>
      <c r="C10" t="inlineStr">
        <is>
          <t>$/lb DM</t>
        </is>
      </c>
      <c r="D10" s="10">
        <f>$B10</f>
        <v/>
      </c>
      <c r="E10" s="11">
        <f>$B10</f>
        <v/>
      </c>
      <c r="F10" s="10">
        <f>$B10</f>
        <v/>
      </c>
      <c r="G10" s="11">
        <f>$B10</f>
        <v/>
      </c>
      <c r="H10" s="10">
        <f>$B10</f>
        <v/>
      </c>
      <c r="I10" s="11">
        <f>$B10</f>
        <v/>
      </c>
      <c r="J10" s="10">
        <f>$B10</f>
        <v/>
      </c>
      <c r="K10" s="11">
        <f>$B10</f>
        <v/>
      </c>
      <c r="M10" s="10">
        <f>(D10/$B10-1)*100</f>
        <v/>
      </c>
      <c r="N10" s="10">
        <f>(E10/$B10-1)*100</f>
        <v/>
      </c>
      <c r="O10" s="10">
        <f>(F10/$B10-1)*100</f>
        <v/>
      </c>
      <c r="P10" s="10">
        <f>(G10/$B10-1)*100</f>
        <v/>
      </c>
      <c r="Q10" s="10">
        <f>(H10/$B10-1)*100</f>
        <v/>
      </c>
      <c r="R10" s="10">
        <f>(I10/$B10-1)*100</f>
        <v/>
      </c>
      <c r="S10" s="10">
        <f>(J10/$B10-1)*100</f>
        <v/>
      </c>
      <c r="T10" s="10">
        <f>(K10/$B10-1)*100</f>
        <v/>
      </c>
    </row>
    <row r="11">
      <c r="A11" s="12" t="inlineStr">
        <is>
          <t>Number of breeding ewes</t>
        </is>
      </c>
      <c r="B11" s="9" t="n">
        <v>100</v>
      </c>
      <c r="C11" t="inlineStr">
        <is>
          <t>head</t>
        </is>
      </c>
      <c r="D11" s="10">
        <f>$B11</f>
        <v/>
      </c>
      <c r="E11" s="11">
        <f>$B11</f>
        <v/>
      </c>
      <c r="F11" s="10">
        <f>$B11</f>
        <v/>
      </c>
      <c r="G11" s="11">
        <f>$B11</f>
        <v/>
      </c>
      <c r="H11" s="10">
        <f>$B11</f>
        <v/>
      </c>
      <c r="I11" s="11">
        <f>$B11</f>
        <v/>
      </c>
      <c r="J11" s="10">
        <f>$B11</f>
        <v/>
      </c>
      <c r="K11" s="11">
        <f>$B11</f>
        <v/>
      </c>
      <c r="M11" s="10">
        <f>(D11/$B11-1)*100</f>
        <v/>
      </c>
      <c r="N11" s="10">
        <f>(E11/$B11-1)*100</f>
        <v/>
      </c>
      <c r="O11" s="10">
        <f>(F11/$B11-1)*100</f>
        <v/>
      </c>
      <c r="P11" s="10">
        <f>(G11/$B11-1)*100</f>
        <v/>
      </c>
      <c r="Q11" s="10">
        <f>(H11/$B11-1)*100</f>
        <v/>
      </c>
      <c r="R11" s="10">
        <f>(I11/$B11-1)*100</f>
        <v/>
      </c>
      <c r="S11" s="10">
        <f>(J11/$B11-1)*100</f>
        <v/>
      </c>
      <c r="T11" s="10">
        <f>(K11/$B11-1)*100</f>
        <v/>
      </c>
    </row>
    <row r="12">
      <c r="A12" s="12" t="inlineStr">
        <is>
          <t>Ewe body weight</t>
        </is>
      </c>
      <c r="B12" s="9" t="n">
        <v>175</v>
      </c>
      <c r="C12" t="inlineStr">
        <is>
          <t>lbs</t>
        </is>
      </c>
      <c r="D12" s="10">
        <f>$B12</f>
        <v/>
      </c>
      <c r="E12" s="11">
        <f>$B12</f>
        <v/>
      </c>
      <c r="F12" s="10">
        <f>$B12</f>
        <v/>
      </c>
      <c r="G12" s="11">
        <f>$B12</f>
        <v/>
      </c>
      <c r="H12" s="10">
        <f>$B12</f>
        <v/>
      </c>
      <c r="I12" s="11">
        <f>$B12</f>
        <v/>
      </c>
      <c r="J12" s="10">
        <f>$B12</f>
        <v/>
      </c>
      <c r="K12" s="11">
        <f>$B12</f>
        <v/>
      </c>
      <c r="M12" s="10">
        <f>(D12/$B12-1)*100</f>
        <v/>
      </c>
      <c r="N12" s="10">
        <f>(E12/$B12-1)*100</f>
        <v/>
      </c>
      <c r="O12" s="10">
        <f>(F12/$B12-1)*100</f>
        <v/>
      </c>
      <c r="P12" s="10">
        <f>(G12/$B12-1)*100</f>
        <v/>
      </c>
      <c r="Q12" s="10">
        <f>(H12/$B12-1)*100</f>
        <v/>
      </c>
      <c r="R12" s="10">
        <f>(I12/$B12-1)*100</f>
        <v/>
      </c>
      <c r="S12" s="10">
        <f>(J12/$B12-1)*100</f>
        <v/>
      </c>
      <c r="T12" s="10">
        <f>(K12/$B12-1)*100</f>
        <v/>
      </c>
    </row>
    <row r="13">
      <c r="A13" s="12" t="inlineStr">
        <is>
          <t>Ewe feed price during maintenance</t>
        </is>
      </c>
      <c r="B13" s="9" t="n">
        <v>0.042</v>
      </c>
      <c r="C13" t="inlineStr">
        <is>
          <t>$/lb DM</t>
        </is>
      </c>
      <c r="D13" s="10">
        <f>$B13</f>
        <v/>
      </c>
      <c r="E13" s="11">
        <f>$B13</f>
        <v/>
      </c>
      <c r="F13" s="10">
        <f>$B13</f>
        <v/>
      </c>
      <c r="G13" s="11">
        <f>$B13</f>
        <v/>
      </c>
      <c r="H13" s="10">
        <f>$B13</f>
        <v/>
      </c>
      <c r="I13" s="11">
        <f>$B13</f>
        <v/>
      </c>
      <c r="J13" s="10">
        <f>$B13</f>
        <v/>
      </c>
      <c r="K13" s="11">
        <f>$B13</f>
        <v/>
      </c>
      <c r="M13" s="10">
        <f>(D13/$B13-1)*100</f>
        <v/>
      </c>
      <c r="N13" s="10">
        <f>(E13/$B13-1)*100</f>
        <v/>
      </c>
      <c r="O13" s="10">
        <f>(F13/$B13-1)*100</f>
        <v/>
      </c>
      <c r="P13" s="10">
        <f>(G13/$B13-1)*100</f>
        <v/>
      </c>
      <c r="Q13" s="10">
        <f>(H13/$B13-1)*100</f>
        <v/>
      </c>
      <c r="R13" s="10">
        <f>(I13/$B13-1)*100</f>
        <v/>
      </c>
      <c r="S13" s="10">
        <f>(J13/$B13-1)*100</f>
        <v/>
      </c>
      <c r="T13" s="10">
        <f>(K13/$B13-1)*100</f>
        <v/>
      </c>
    </row>
    <row r="14">
      <c r="A14" s="12" t="inlineStr">
        <is>
          <t>Ewe feed price during pregnancy/lactation</t>
        </is>
      </c>
      <c r="B14" s="9" t="n">
        <v>0.057</v>
      </c>
      <c r="C14" t="inlineStr">
        <is>
          <t>$/lb DM</t>
        </is>
      </c>
      <c r="D14" s="10">
        <f>$B14</f>
        <v/>
      </c>
      <c r="E14" s="11">
        <f>$B14</f>
        <v/>
      </c>
      <c r="F14" s="10">
        <f>$B14</f>
        <v/>
      </c>
      <c r="G14" s="11">
        <f>$B14</f>
        <v/>
      </c>
      <c r="H14" s="10">
        <f>$B14</f>
        <v/>
      </c>
      <c r="I14" s="11">
        <f>$B14</f>
        <v/>
      </c>
      <c r="J14" s="10">
        <f>$B14</f>
        <v/>
      </c>
      <c r="K14" s="11">
        <f>$B14</f>
        <v/>
      </c>
      <c r="M14" s="10">
        <f>(D14/$B14-1)*100</f>
        <v/>
      </c>
      <c r="N14" s="10">
        <f>(E14/$B14-1)*100</f>
        <v/>
      </c>
      <c r="O14" s="10">
        <f>(F14/$B14-1)*100</f>
        <v/>
      </c>
      <c r="P14" s="10">
        <f>(G14/$B14-1)*100</f>
        <v/>
      </c>
      <c r="Q14" s="10">
        <f>(H14/$B14-1)*100</f>
        <v/>
      </c>
      <c r="R14" s="10">
        <f>(I14/$B14-1)*100</f>
        <v/>
      </c>
      <c r="S14" s="10">
        <f>(J14/$B14-1)*100</f>
        <v/>
      </c>
      <c r="T14" s="10">
        <f>(K14/$B14-1)*100</f>
        <v/>
      </c>
    </row>
    <row r="15">
      <c r="A15" s="12" t="inlineStr">
        <is>
          <t>Number of months between breedings</t>
        </is>
      </c>
      <c r="B15" s="9" t="n">
        <v>12</v>
      </c>
      <c r="C15" t="inlineStr">
        <is>
          <t>months/lambing period</t>
        </is>
      </c>
      <c r="D15" s="10">
        <f>$B15</f>
        <v/>
      </c>
      <c r="E15" s="11">
        <f>$B15</f>
        <v/>
      </c>
      <c r="F15" s="10">
        <f>$B15</f>
        <v/>
      </c>
      <c r="G15" s="11">
        <f>$B15</f>
        <v/>
      </c>
      <c r="H15" s="10">
        <f>$B15</f>
        <v/>
      </c>
      <c r="I15" s="11">
        <f>$B15</f>
        <v/>
      </c>
      <c r="J15" s="10">
        <f>$B15</f>
        <v/>
      </c>
      <c r="K15" s="11">
        <f>$B15</f>
        <v/>
      </c>
      <c r="M15" s="10">
        <f>(D15/$B15-1)*100</f>
        <v/>
      </c>
      <c r="N15" s="10">
        <f>(E15/$B15-1)*100</f>
        <v/>
      </c>
      <c r="O15" s="10">
        <f>(F15/$B15-1)*100</f>
        <v/>
      </c>
      <c r="P15" s="10">
        <f>(G15/$B15-1)*100</f>
        <v/>
      </c>
      <c r="Q15" s="10">
        <f>(H15/$B15-1)*100</f>
        <v/>
      </c>
      <c r="R15" s="10">
        <f>(I15/$B15-1)*100</f>
        <v/>
      </c>
      <c r="S15" s="10">
        <f>(J15/$B15-1)*100</f>
        <v/>
      </c>
      <c r="T15" s="10">
        <f>(K15/$B15-1)*100</f>
        <v/>
      </c>
    </row>
    <row r="16">
      <c r="A16" s="12" t="inlineStr">
        <is>
          <t xml:space="preserve">Conception rate </t>
        </is>
      </c>
      <c r="B16" s="9" t="n">
        <v>92</v>
      </c>
      <c r="C16" t="inlineStr">
        <is>
          <t>%</t>
        </is>
      </c>
      <c r="D16" s="10">
        <f>$B16</f>
        <v/>
      </c>
      <c r="E16" s="11">
        <f>$B16</f>
        <v/>
      </c>
      <c r="F16" s="10">
        <f>$B16</f>
        <v/>
      </c>
      <c r="G16" s="11">
        <f>$B16</f>
        <v/>
      </c>
      <c r="H16" s="10">
        <f>$B16</f>
        <v/>
      </c>
      <c r="I16" s="11">
        <f>$B16</f>
        <v/>
      </c>
      <c r="J16" s="10">
        <f>$B16</f>
        <v/>
      </c>
      <c r="K16" s="11">
        <f>$B16</f>
        <v/>
      </c>
      <c r="M16" s="10">
        <f>(D16/$B16-1)*100</f>
        <v/>
      </c>
      <c r="N16" s="10">
        <f>(E16/$B16-1)*100</f>
        <v/>
      </c>
      <c r="O16" s="10">
        <f>(F16/$B16-1)*100</f>
        <v/>
      </c>
      <c r="P16" s="10">
        <f>(G16/$B16-1)*100</f>
        <v/>
      </c>
      <c r="Q16" s="10">
        <f>(H16/$B16-1)*100</f>
        <v/>
      </c>
      <c r="R16" s="10">
        <f>(I16/$B16-1)*100</f>
        <v/>
      </c>
      <c r="S16" s="10">
        <f>(J16/$B16-1)*100</f>
        <v/>
      </c>
      <c r="T16" s="10">
        <f>(K16/$B16-1)*100</f>
        <v/>
      </c>
    </row>
    <row r="17">
      <c r="A17" s="12" t="inlineStr">
        <is>
          <t xml:space="preserve">Lambing rate </t>
        </is>
      </c>
      <c r="B17" s="9" t="n">
        <v>1.7</v>
      </c>
      <c r="C17" t="inlineStr">
        <is>
          <t>lambs/ewe</t>
        </is>
      </c>
      <c r="D17" s="10">
        <f>$B17</f>
        <v/>
      </c>
      <c r="E17" s="11">
        <f>$B17</f>
        <v/>
      </c>
      <c r="F17" s="10">
        <f>$B17</f>
        <v/>
      </c>
      <c r="G17" s="11">
        <f>$B17</f>
        <v/>
      </c>
      <c r="H17" s="10">
        <f>$B17</f>
        <v/>
      </c>
      <c r="I17" s="11">
        <f>$B17</f>
        <v/>
      </c>
      <c r="J17" s="10">
        <f>$B17</f>
        <v/>
      </c>
      <c r="K17" s="11">
        <f>$B17</f>
        <v/>
      </c>
      <c r="M17" s="10">
        <f>(D17/$B17-1)*100</f>
        <v/>
      </c>
      <c r="N17" s="10">
        <f>(E17/$B17-1)*100</f>
        <v/>
      </c>
      <c r="O17" s="10">
        <f>(F17/$B17-1)*100</f>
        <v/>
      </c>
      <c r="P17" s="10">
        <f>(G17/$B17-1)*100</f>
        <v/>
      </c>
      <c r="Q17" s="10">
        <f>(H17/$B17-1)*100</f>
        <v/>
      </c>
      <c r="R17" s="10">
        <f>(I17/$B17-1)*100</f>
        <v/>
      </c>
      <c r="S17" s="10">
        <f>(J17/$B17-1)*100</f>
        <v/>
      </c>
      <c r="T17" s="10">
        <f>(K17/$B17-1)*100</f>
        <v/>
      </c>
    </row>
    <row r="18">
      <c r="A18" s="8" t="inlineStr">
        <is>
          <t>Newborn lamb mortality (birth to 1 week)</t>
        </is>
      </c>
      <c r="B18" s="9" t="n">
        <v>11</v>
      </c>
      <c r="C18" t="inlineStr">
        <is>
          <t>% died during first week/lambs born</t>
        </is>
      </c>
      <c r="D18" s="10">
        <f>$B18</f>
        <v/>
      </c>
      <c r="E18" s="11">
        <f>$B18</f>
        <v/>
      </c>
      <c r="F18" s="10">
        <f>$B18</f>
        <v/>
      </c>
      <c r="G18" s="11">
        <f>$B18</f>
        <v/>
      </c>
      <c r="H18" s="10">
        <f>$B18</f>
        <v/>
      </c>
      <c r="I18" s="11">
        <f>$B18</f>
        <v/>
      </c>
      <c r="J18" s="10">
        <f>$B18</f>
        <v/>
      </c>
      <c r="K18" s="11">
        <f>$B18</f>
        <v/>
      </c>
      <c r="M18" s="10">
        <f>(D18/$B18-1)*100</f>
        <v/>
      </c>
      <c r="N18" s="10">
        <f>(E18/$B18-1)*100</f>
        <v/>
      </c>
      <c r="O18" s="10">
        <f>(F18/$B18-1)*100</f>
        <v/>
      </c>
      <c r="P18" s="10">
        <f>(G18/$B18-1)*100</f>
        <v/>
      </c>
      <c r="Q18" s="10">
        <f>(H18/$B18-1)*100</f>
        <v/>
      </c>
      <c r="R18" s="10">
        <f>(I18/$B18-1)*100</f>
        <v/>
      </c>
      <c r="S18" s="10">
        <f>(J18/$B18-1)*100</f>
        <v/>
      </c>
      <c r="T18" s="10">
        <f>(K18/$B18-1)*100</f>
        <v/>
      </c>
    </row>
    <row r="19">
      <c r="A19" s="8" t="inlineStr">
        <is>
          <t>Pre-weaned lamb mortality (1 week old to weaning)</t>
        </is>
      </c>
      <c r="B19" s="9" t="n">
        <v>3</v>
      </c>
      <c r="C19" t="inlineStr">
        <is>
          <t>% died by weaning/lambs who survived first week</t>
        </is>
      </c>
      <c r="D19" s="10">
        <f>$B19</f>
        <v/>
      </c>
      <c r="E19" s="11">
        <f>$B19</f>
        <v/>
      </c>
      <c r="F19" s="10">
        <f>$B19</f>
        <v/>
      </c>
      <c r="G19" s="11">
        <f>$B19</f>
        <v/>
      </c>
      <c r="H19" s="10">
        <f>$B19</f>
        <v/>
      </c>
      <c r="I19" s="11">
        <f>$B19</f>
        <v/>
      </c>
      <c r="J19" s="10">
        <f>$B19</f>
        <v/>
      </c>
      <c r="K19" s="11">
        <f>$B19</f>
        <v/>
      </c>
      <c r="M19" s="10">
        <f>(D19/$B19-1)*100</f>
        <v/>
      </c>
      <c r="N19" s="10">
        <f>(E19/$B19-1)*100</f>
        <v/>
      </c>
      <c r="O19" s="10">
        <f>(F19/$B19-1)*100</f>
        <v/>
      </c>
      <c r="P19" s="10">
        <f>(G19/$B19-1)*100</f>
        <v/>
      </c>
      <c r="Q19" s="10">
        <f>(H19/$B19-1)*100</f>
        <v/>
      </c>
      <c r="R19" s="10">
        <f>(I19/$B19-1)*100</f>
        <v/>
      </c>
      <c r="S19" s="10">
        <f>(J19/$B19-1)*100</f>
        <v/>
      </c>
      <c r="T19" s="10">
        <f>(K19/$B19-1)*100</f>
        <v/>
      </c>
    </row>
    <row r="20">
      <c r="A20" s="12" t="inlineStr">
        <is>
          <t>Labor rate</t>
        </is>
      </c>
      <c r="B20" s="9" t="n">
        <v>10</v>
      </c>
      <c r="C20" t="inlineStr">
        <is>
          <t>$/hour</t>
        </is>
      </c>
      <c r="D20" s="10">
        <f>$B20</f>
        <v/>
      </c>
      <c r="E20" s="11">
        <f>$B20</f>
        <v/>
      </c>
      <c r="F20" s="10">
        <f>$B20</f>
        <v/>
      </c>
      <c r="G20" s="11">
        <f>$B20</f>
        <v/>
      </c>
      <c r="H20" s="10">
        <f>$B20</f>
        <v/>
      </c>
      <c r="I20" s="11">
        <f>$B20</f>
        <v/>
      </c>
      <c r="J20" s="10">
        <f>$B20</f>
        <v/>
      </c>
      <c r="K20" s="11">
        <f>$B20</f>
        <v/>
      </c>
      <c r="M20" s="10">
        <f>(D20/$B20-1)*100</f>
        <v/>
      </c>
      <c r="N20" s="10">
        <f>(E20/$B20-1)*100</f>
        <v/>
      </c>
      <c r="O20" s="10">
        <f>(F20/$B20-1)*100</f>
        <v/>
      </c>
      <c r="P20" s="10">
        <f>(G20/$B20-1)*100</f>
        <v/>
      </c>
      <c r="Q20" s="10">
        <f>(H20/$B20-1)*100</f>
        <v/>
      </c>
      <c r="R20" s="10">
        <f>(I20/$B20-1)*100</f>
        <v/>
      </c>
      <c r="S20" s="10">
        <f>(J20/$B20-1)*100</f>
        <v/>
      </c>
      <c r="T20" s="10">
        <f>(K20/$B20-1)*100</f>
        <v/>
      </c>
    </row>
    <row r="21">
      <c r="A21" s="12" t="inlineStr">
        <is>
          <t>Lambing labor</t>
        </is>
      </c>
      <c r="B21" s="9" t="n">
        <v>0.4</v>
      </c>
      <c r="C21" t="inlineStr">
        <is>
          <t>hours/ewe/lambing period</t>
        </is>
      </c>
      <c r="D21" s="10">
        <f>$B21</f>
        <v/>
      </c>
      <c r="E21" s="11">
        <f>$B21</f>
        <v/>
      </c>
      <c r="F21" s="10">
        <f>$B21</f>
        <v/>
      </c>
      <c r="G21" s="11">
        <f>$B21</f>
        <v/>
      </c>
      <c r="H21" s="10">
        <f>$B21</f>
        <v/>
      </c>
      <c r="I21" s="11">
        <f>$B21</f>
        <v/>
      </c>
      <c r="J21" s="10">
        <f>$B21</f>
        <v/>
      </c>
      <c r="K21" s="11">
        <f>$B21</f>
        <v/>
      </c>
      <c r="M21" s="10">
        <f>(D21/$B21-1)*100</f>
        <v/>
      </c>
      <c r="N21" s="10">
        <f>(E21/$B21-1)*100</f>
        <v/>
      </c>
      <c r="O21" s="10">
        <f>(F21/$B21-1)*100</f>
        <v/>
      </c>
      <c r="P21" s="10">
        <f>(G21/$B21-1)*100</f>
        <v/>
      </c>
      <c r="Q21" s="10">
        <f>(H21/$B21-1)*100</f>
        <v/>
      </c>
      <c r="R21" s="10">
        <f>(I21/$B21-1)*100</f>
        <v/>
      </c>
      <c r="S21" s="10">
        <f>(J21/$B21-1)*100</f>
        <v/>
      </c>
      <c r="T21" s="10">
        <f>(K21/$B21-1)*100</f>
        <v/>
      </c>
    </row>
    <row r="22">
      <c r="A22" s="12" t="inlineStr">
        <is>
          <t>Ewe general labor (feeding, checks, maintenance)</t>
        </is>
      </c>
      <c r="B22" s="9" t="n">
        <v>2.25</v>
      </c>
      <c r="C22" t="inlineStr">
        <is>
          <t>hours/ewe/lambing period</t>
        </is>
      </c>
      <c r="D22" s="10">
        <f>$B22</f>
        <v/>
      </c>
      <c r="E22" s="11">
        <f>$B22</f>
        <v/>
      </c>
      <c r="F22" s="10">
        <f>$B22</f>
        <v/>
      </c>
      <c r="G22" s="11">
        <f>$B22</f>
        <v/>
      </c>
      <c r="H22" s="10">
        <f>$B22</f>
        <v/>
      </c>
      <c r="I22" s="11">
        <f>$B22</f>
        <v/>
      </c>
      <c r="J22" s="10">
        <f>$B22</f>
        <v/>
      </c>
      <c r="K22" s="11">
        <f>$B22</f>
        <v/>
      </c>
      <c r="M22" s="10">
        <f>(D22/$B22-1)*100</f>
        <v/>
      </c>
      <c r="N22" s="10">
        <f>(E22/$B22-1)*100</f>
        <v/>
      </c>
      <c r="O22" s="10">
        <f>(F22/$B22-1)*100</f>
        <v/>
      </c>
      <c r="P22" s="10">
        <f>(G22/$B22-1)*100</f>
        <v/>
      </c>
      <c r="Q22" s="10">
        <f>(H22/$B22-1)*100</f>
        <v/>
      </c>
      <c r="R22" s="10">
        <f>(I22/$B22-1)*100</f>
        <v/>
      </c>
      <c r="S22" s="10">
        <f>(J22/$B22-1)*100</f>
        <v/>
      </c>
      <c r="T22" s="10">
        <f>(K22/$B22-1)*100</f>
        <v/>
      </c>
    </row>
    <row r="23">
      <c r="A23" s="12" t="inlineStr">
        <is>
          <t>Pregnant/Lactating ewe health costs</t>
        </is>
      </c>
      <c r="B23" s="9" t="n">
        <v>8</v>
      </c>
      <c r="C23" t="inlineStr">
        <is>
          <t>$/ewe/lambing period</t>
        </is>
      </c>
      <c r="D23" s="10">
        <f>$B23</f>
        <v/>
      </c>
      <c r="E23" s="11">
        <f>$B23</f>
        <v/>
      </c>
      <c r="F23" s="10">
        <f>$B23</f>
        <v/>
      </c>
      <c r="G23" s="11">
        <f>$B23</f>
        <v/>
      </c>
      <c r="H23" s="10">
        <f>$B23</f>
        <v/>
      </c>
      <c r="I23" s="11">
        <f>$B23</f>
        <v/>
      </c>
      <c r="J23" s="10">
        <f>$B23</f>
        <v/>
      </c>
      <c r="K23" s="11">
        <f>$B23</f>
        <v/>
      </c>
      <c r="M23" s="10">
        <f>(D23/$B23-1)*100</f>
        <v/>
      </c>
      <c r="N23" s="10">
        <f>(E23/$B23-1)*100</f>
        <v/>
      </c>
      <c r="O23" s="10">
        <f>(F23/$B23-1)*100</f>
        <v/>
      </c>
      <c r="P23" s="10">
        <f>(G23/$B23-1)*100</f>
        <v/>
      </c>
      <c r="Q23" s="10">
        <f>(H23/$B23-1)*100</f>
        <v/>
      </c>
      <c r="R23" s="10">
        <f>(I23/$B23-1)*100</f>
        <v/>
      </c>
      <c r="S23" s="10">
        <f>(J23/$B23-1)*100</f>
        <v/>
      </c>
      <c r="T23" s="10">
        <f>(K23/$B23-1)*100</f>
        <v/>
      </c>
    </row>
    <row r="24">
      <c r="A24" s="12" t="inlineStr">
        <is>
          <t>Non-pregnant or lactating ewe health costs</t>
        </is>
      </c>
      <c r="B24" s="9" t="n">
        <v>3</v>
      </c>
      <c r="C24" t="inlineStr">
        <is>
          <t>$/ewe/lambing period</t>
        </is>
      </c>
      <c r="D24" s="10">
        <f>$B24</f>
        <v/>
      </c>
      <c r="E24" s="11">
        <f>$B24</f>
        <v/>
      </c>
      <c r="F24" s="10">
        <f>$B24</f>
        <v/>
      </c>
      <c r="G24" s="11">
        <f>$B24</f>
        <v/>
      </c>
      <c r="H24" s="10">
        <f>$B24</f>
        <v/>
      </c>
      <c r="I24" s="11">
        <f>$B24</f>
        <v/>
      </c>
      <c r="J24" s="10">
        <f>$B24</f>
        <v/>
      </c>
      <c r="K24" s="11">
        <f>$B24</f>
        <v/>
      </c>
      <c r="M24" s="10">
        <f>(D24/$B24-1)*100</f>
        <v/>
      </c>
      <c r="N24" s="10">
        <f>(E24/$B24-1)*100</f>
        <v/>
      </c>
      <c r="O24" s="10">
        <f>(F24/$B24-1)*100</f>
        <v/>
      </c>
      <c r="P24" s="10">
        <f>(G24/$B24-1)*100</f>
        <v/>
      </c>
      <c r="Q24" s="10">
        <f>(H24/$B24-1)*100</f>
        <v/>
      </c>
      <c r="R24" s="10">
        <f>(I24/$B24-1)*100</f>
        <v/>
      </c>
      <c r="S24" s="10">
        <f>(J24/$B24-1)*100</f>
        <v/>
      </c>
      <c r="T24" s="10">
        <f>(K24/$B24-1)*100</f>
        <v/>
      </c>
    </row>
    <row r="25">
      <c r="A25" s="12" t="inlineStr">
        <is>
          <t>Net wool revenue per ewe</t>
        </is>
      </c>
      <c r="B25" s="9" t="n">
        <v>1.5</v>
      </c>
      <c r="C25" t="inlineStr">
        <is>
          <t>$/ewe/lambing period</t>
        </is>
      </c>
      <c r="D25" s="10">
        <f>$B25</f>
        <v/>
      </c>
      <c r="E25" s="11">
        <f>$B25</f>
        <v/>
      </c>
      <c r="F25" s="10">
        <f>$B25</f>
        <v/>
      </c>
      <c r="G25" s="11">
        <f>$B25</f>
        <v/>
      </c>
      <c r="H25" s="10">
        <f>$B25</f>
        <v/>
      </c>
      <c r="I25" s="11">
        <f>$B25</f>
        <v/>
      </c>
      <c r="J25" s="10">
        <f>$B25</f>
        <v/>
      </c>
      <c r="K25" s="11">
        <f>$B25</f>
        <v/>
      </c>
      <c r="M25" s="10">
        <f>(D25/$B25-1)*100</f>
        <v/>
      </c>
      <c r="N25" s="10">
        <f>(E25/$B25-1)*100</f>
        <v/>
      </c>
      <c r="O25" s="10">
        <f>(F25/$B25-1)*100</f>
        <v/>
      </c>
      <c r="P25" s="10">
        <f>(G25/$B25-1)*100</f>
        <v/>
      </c>
      <c r="Q25" s="10">
        <f>(H25/$B25-1)*100</f>
        <v/>
      </c>
      <c r="R25" s="10">
        <f>(I25/$B25-1)*100</f>
        <v/>
      </c>
      <c r="S25" s="10">
        <f>(J25/$B25-1)*100</f>
        <v/>
      </c>
      <c r="T25" s="10">
        <f>(K25/$B25-1)*100</f>
        <v/>
      </c>
    </row>
    <row r="26">
      <c r="A26" s="12" t="inlineStr">
        <is>
          <t>Ewe death rate</t>
        </is>
      </c>
      <c r="B26" s="9" t="n">
        <v>2</v>
      </c>
      <c r="C26" t="inlineStr">
        <is>
          <t>% of ewes/lambing period</t>
        </is>
      </c>
      <c r="D26" s="10">
        <f>$B26</f>
        <v/>
      </c>
      <c r="E26" s="11">
        <f>$B26</f>
        <v/>
      </c>
      <c r="F26" s="10">
        <f>$B26</f>
        <v/>
      </c>
      <c r="G26" s="11">
        <f>$B26</f>
        <v/>
      </c>
      <c r="H26" s="10">
        <f>$B26</f>
        <v/>
      </c>
      <c r="I26" s="11">
        <f>$B26</f>
        <v/>
      </c>
      <c r="J26" s="10">
        <f>$B26</f>
        <v/>
      </c>
      <c r="K26" s="11">
        <f>$B26</f>
        <v/>
      </c>
      <c r="M26" s="10">
        <f>(D26/$B26-1)*100</f>
        <v/>
      </c>
      <c r="N26" s="10">
        <f>(E26/$B26-1)*100</f>
        <v/>
      </c>
      <c r="O26" s="10">
        <f>(F26/$B26-1)*100</f>
        <v/>
      </c>
      <c r="P26" s="10">
        <f>(G26/$B26-1)*100</f>
        <v/>
      </c>
      <c r="Q26" s="10">
        <f>(H26/$B26-1)*100</f>
        <v/>
      </c>
      <c r="R26" s="10">
        <f>(I26/$B26-1)*100</f>
        <v/>
      </c>
      <c r="S26" s="10">
        <f>(J26/$B26-1)*100</f>
        <v/>
      </c>
      <c r="T26" s="10">
        <f>(K26/$B26-1)*100</f>
        <v/>
      </c>
    </row>
    <row r="27">
      <c r="A27" s="12" t="inlineStr">
        <is>
          <t>Ewe cull rate</t>
        </is>
      </c>
      <c r="B27" s="13" t="n">
        <v>15</v>
      </c>
      <c r="C27" t="inlineStr">
        <is>
          <t>% of ewes/lambing period</t>
        </is>
      </c>
      <c r="D27" s="10">
        <f>$B27</f>
        <v/>
      </c>
      <c r="E27" s="11">
        <f>$B27</f>
        <v/>
      </c>
      <c r="F27" s="10">
        <f>$B27</f>
        <v/>
      </c>
      <c r="G27" s="11">
        <f>$B27</f>
        <v/>
      </c>
      <c r="H27" s="10">
        <f>$B27</f>
        <v/>
      </c>
      <c r="I27" s="11">
        <f>$B27</f>
        <v/>
      </c>
      <c r="J27" s="10">
        <f>$B27</f>
        <v/>
      </c>
      <c r="K27" s="11">
        <f>$B27</f>
        <v/>
      </c>
      <c r="M27" s="10">
        <f>(D27/$B27-1)*100</f>
        <v/>
      </c>
      <c r="N27" s="10">
        <f>(E27/$B27-1)*100</f>
        <v/>
      </c>
      <c r="O27" s="10">
        <f>(F27/$B27-1)*100</f>
        <v/>
      </c>
      <c r="P27" s="10">
        <f>(G27/$B27-1)*100</f>
        <v/>
      </c>
      <c r="Q27" s="10">
        <f>(H27/$B27-1)*100</f>
        <v/>
      </c>
      <c r="R27" s="10">
        <f>(I27/$B27-1)*100</f>
        <v/>
      </c>
      <c r="S27" s="10">
        <f>(J27/$B27-1)*100</f>
        <v/>
      </c>
      <c r="T27" s="10">
        <f>(K27/$B27-1)*100</f>
        <v/>
      </c>
    </row>
    <row r="28">
      <c r="A28" s="14" t="inlineStr">
        <is>
          <t>Ewe lamb death rate</t>
        </is>
      </c>
      <c r="B28" s="13" t="n">
        <v>4</v>
      </c>
      <c r="C28" t="inlineStr">
        <is>
          <t>% of ewes/lambing period</t>
        </is>
      </c>
      <c r="D28" s="10">
        <f>$B28</f>
        <v/>
      </c>
      <c r="E28" s="11">
        <f>$B28</f>
        <v/>
      </c>
      <c r="F28" s="10">
        <f>$B28</f>
        <v/>
      </c>
      <c r="G28" s="11">
        <f>$B28</f>
        <v/>
      </c>
      <c r="H28" s="10">
        <f>$B28</f>
        <v/>
      </c>
      <c r="I28" s="11">
        <f>$B28</f>
        <v/>
      </c>
      <c r="J28" s="10">
        <f>$B28</f>
        <v/>
      </c>
      <c r="K28" s="11">
        <f>$B28</f>
        <v/>
      </c>
      <c r="M28" s="10">
        <f>(D28/$B28-1)*100</f>
        <v/>
      </c>
      <c r="N28" s="10">
        <f>(E28/$B28-1)*100</f>
        <v/>
      </c>
      <c r="O28" s="10">
        <f>(F28/$B28-1)*100</f>
        <v/>
      </c>
      <c r="P28" s="10">
        <f>(G28/$B28-1)*100</f>
        <v/>
      </c>
      <c r="Q28" s="10">
        <f>(H28/$B28-1)*100</f>
        <v/>
      </c>
      <c r="R28" s="10">
        <f>(I28/$B28-1)*100</f>
        <v/>
      </c>
      <c r="S28" s="10">
        <f>(J28/$B28-1)*100</f>
        <v/>
      </c>
      <c r="T28" s="10">
        <f>(K28/$B28-1)*100</f>
        <v/>
      </c>
    </row>
    <row r="29">
      <c r="A29" s="14" t="inlineStr">
        <is>
          <t>Ewe lamb cull rate</t>
        </is>
      </c>
      <c r="B29" s="13" t="n">
        <v>8</v>
      </c>
      <c r="C29" t="inlineStr">
        <is>
          <t>% of ewes/lambing period</t>
        </is>
      </c>
      <c r="D29" s="10">
        <f>$B29</f>
        <v/>
      </c>
      <c r="E29" s="11">
        <f>$B29</f>
        <v/>
      </c>
      <c r="F29" s="10">
        <f>$B29</f>
        <v/>
      </c>
      <c r="G29" s="11">
        <f>$B29</f>
        <v/>
      </c>
      <c r="H29" s="10">
        <f>$B29</f>
        <v/>
      </c>
      <c r="I29" s="11">
        <f>$B29</f>
        <v/>
      </c>
      <c r="J29" s="10">
        <f>$B29</f>
        <v/>
      </c>
      <c r="K29" s="11">
        <f>$B29</f>
        <v/>
      </c>
      <c r="M29" s="10">
        <f>(D29/$B29-1)*100</f>
        <v/>
      </c>
      <c r="N29" s="10">
        <f>(E29/$B29-1)*100</f>
        <v/>
      </c>
      <c r="O29" s="10">
        <f>(F29/$B29-1)*100</f>
        <v/>
      </c>
      <c r="P29" s="10">
        <f>(G29/$B29-1)*100</f>
        <v/>
      </c>
      <c r="Q29" s="10">
        <f>(H29/$B29-1)*100</f>
        <v/>
      </c>
      <c r="R29" s="10">
        <f>(I29/$B29-1)*100</f>
        <v/>
      </c>
      <c r="S29" s="10">
        <f>(J29/$B29-1)*100</f>
        <v/>
      </c>
      <c r="T29" s="10">
        <f>(K29/$B29-1)*100</f>
        <v/>
      </c>
    </row>
    <row r="30">
      <c r="A30" s="14" t="inlineStr">
        <is>
          <t>Replacement feed price</t>
        </is>
      </c>
      <c r="B30" s="15" t="n">
        <v>0.07000000000000001</v>
      </c>
      <c r="C30" t="inlineStr">
        <is>
          <t>$/lb DM</t>
        </is>
      </c>
      <c r="D30" s="10">
        <f>$B30</f>
        <v/>
      </c>
      <c r="E30" s="11">
        <f>$B30</f>
        <v/>
      </c>
      <c r="F30" s="10">
        <f>$B30</f>
        <v/>
      </c>
      <c r="G30" s="11">
        <f>$B30</f>
        <v/>
      </c>
      <c r="H30" s="10">
        <f>$B30</f>
        <v/>
      </c>
      <c r="I30" s="11">
        <f>$B30</f>
        <v/>
      </c>
      <c r="J30" s="10">
        <f>$B30</f>
        <v/>
      </c>
      <c r="K30" s="11">
        <f>$B30</f>
        <v/>
      </c>
      <c r="M30" s="10">
        <f>(D30/$B30-1)*100</f>
        <v/>
      </c>
      <c r="N30" s="10">
        <f>(E30/$B30-1)*100</f>
        <v/>
      </c>
      <c r="O30" s="10">
        <f>(F30/$B30-1)*100</f>
        <v/>
      </c>
      <c r="P30" s="10">
        <f>(G30/$B30-1)*100</f>
        <v/>
      </c>
      <c r="Q30" s="10">
        <f>(H30/$B30-1)*100</f>
        <v/>
      </c>
      <c r="R30" s="10">
        <f>(I30/$B30-1)*100</f>
        <v/>
      </c>
      <c r="S30" s="10">
        <f>(J30/$B30-1)*100</f>
        <v/>
      </c>
      <c r="T30" s="10">
        <f>(K30/$B30-1)*100</f>
        <v/>
      </c>
    </row>
    <row r="31">
      <c r="A31" s="14" t="inlineStr">
        <is>
          <t>Replacement body weight at first breeding</t>
        </is>
      </c>
      <c r="B31" s="9" t="n">
        <v>115</v>
      </c>
      <c r="C31" t="inlineStr">
        <is>
          <t>lbs</t>
        </is>
      </c>
      <c r="D31" s="10">
        <f>$B31</f>
        <v/>
      </c>
      <c r="E31" s="11">
        <f>$B31</f>
        <v/>
      </c>
      <c r="F31" s="10">
        <f>$B31</f>
        <v/>
      </c>
      <c r="G31" s="11">
        <f>$B31</f>
        <v/>
      </c>
      <c r="H31" s="10">
        <f>$B31</f>
        <v/>
      </c>
      <c r="I31" s="11">
        <f>$B31</f>
        <v/>
      </c>
      <c r="J31" s="10">
        <f>$B31</f>
        <v/>
      </c>
      <c r="K31" s="11">
        <f>$B31</f>
        <v/>
      </c>
      <c r="M31" s="10">
        <f>(D31/$B31-1)*100</f>
        <v/>
      </c>
      <c r="N31" s="10">
        <f>(E31/$B31-1)*100</f>
        <v/>
      </c>
      <c r="O31" s="10">
        <f>(F31/$B31-1)*100</f>
        <v/>
      </c>
      <c r="P31" s="10">
        <f>(G31/$B31-1)*100</f>
        <v/>
      </c>
      <c r="Q31" s="10">
        <f>(H31/$B31-1)*100</f>
        <v/>
      </c>
      <c r="R31" s="10">
        <f>(I31/$B31-1)*100</f>
        <v/>
      </c>
      <c r="S31" s="10">
        <f>(J31/$B31-1)*100</f>
        <v/>
      </c>
      <c r="T31" s="10">
        <f>(K31/$B31-1)*100</f>
        <v/>
      </c>
    </row>
    <row r="32">
      <c r="A32" s="14" t="inlineStr">
        <is>
          <t>Replacement age at first breeding</t>
        </is>
      </c>
      <c r="B32" s="13" t="n">
        <v>230</v>
      </c>
      <c r="C32" t="inlineStr">
        <is>
          <t>days</t>
        </is>
      </c>
      <c r="D32" s="10">
        <f>$B32</f>
        <v/>
      </c>
      <c r="E32" s="11">
        <f>$B32</f>
        <v/>
      </c>
      <c r="F32" s="10">
        <f>$B32</f>
        <v/>
      </c>
      <c r="G32" s="11">
        <f>$B32</f>
        <v/>
      </c>
      <c r="H32" s="10">
        <f>$B32</f>
        <v/>
      </c>
      <c r="I32" s="11">
        <f>$B32</f>
        <v/>
      </c>
      <c r="J32" s="10">
        <f>$B32</f>
        <v/>
      </c>
      <c r="K32" s="11">
        <f>$B32</f>
        <v/>
      </c>
      <c r="M32" s="10">
        <f>(D32/$B32-1)*100</f>
        <v/>
      </c>
      <c r="N32" s="10">
        <f>(E32/$B32-1)*100</f>
        <v/>
      </c>
      <c r="O32" s="10">
        <f>(F32/$B32-1)*100</f>
        <v/>
      </c>
      <c r="P32" s="10">
        <f>(G32/$B32-1)*100</f>
        <v/>
      </c>
      <c r="Q32" s="10">
        <f>(H32/$B32-1)*100</f>
        <v/>
      </c>
      <c r="R32" s="10">
        <f>(I32/$B32-1)*100</f>
        <v/>
      </c>
      <c r="S32" s="10">
        <f>(J32/$B32-1)*100</f>
        <v/>
      </c>
      <c r="T32" s="10">
        <f>(K32/$B32-1)*100</f>
        <v/>
      </c>
    </row>
    <row r="33">
      <c r="A33" s="14" t="inlineStr">
        <is>
          <t>Ewe lamb conception rate (first breeding)</t>
        </is>
      </c>
      <c r="B33" s="13" t="n">
        <v>72</v>
      </c>
      <c r="C33" t="inlineStr">
        <is>
          <t>%</t>
        </is>
      </c>
      <c r="D33" s="16">
        <f>$B33</f>
        <v/>
      </c>
      <c r="E33" s="17">
        <f>$B33</f>
        <v/>
      </c>
      <c r="F33" s="16">
        <f>$B33</f>
        <v/>
      </c>
      <c r="G33" s="17">
        <f>$B33</f>
        <v/>
      </c>
      <c r="H33" s="16">
        <f>$B33</f>
        <v/>
      </c>
      <c r="I33" s="17">
        <f>$B33</f>
        <v/>
      </c>
      <c r="J33" s="16">
        <f>$B33</f>
        <v/>
      </c>
      <c r="K33" s="17">
        <f>$B33</f>
        <v/>
      </c>
      <c r="M33" s="10">
        <f>(D33/$B33-1)*100</f>
        <v/>
      </c>
      <c r="N33" s="10">
        <f>(E33/$B33-1)*100</f>
        <v/>
      </c>
      <c r="O33" s="10">
        <f>(F33/$B33-1)*100</f>
        <v/>
      </c>
      <c r="P33" s="10">
        <f>(G33/$B33-1)*100</f>
        <v/>
      </c>
      <c r="Q33" s="10">
        <f>(H33/$B33-1)*100</f>
        <v/>
      </c>
      <c r="R33" s="10">
        <f>(I33/$B33-1)*100</f>
        <v/>
      </c>
      <c r="S33" s="10">
        <f>(J33/$B33-1)*100</f>
        <v/>
      </c>
      <c r="T33" s="10">
        <f>(K33/$B33-1)*100</f>
        <v/>
      </c>
    </row>
    <row r="34">
      <c r="A34" s="14" t="inlineStr">
        <is>
          <t>Ewe lamb lambing rate (first breeding)</t>
        </is>
      </c>
      <c r="B34" s="18" t="n">
        <v>1.1</v>
      </c>
      <c r="C34" t="inlineStr">
        <is>
          <t>lambs/ewe</t>
        </is>
      </c>
      <c r="D34" s="19">
        <f>$B34</f>
        <v/>
      </c>
      <c r="E34" s="20">
        <f>$B34</f>
        <v/>
      </c>
      <c r="F34" s="19">
        <f>$B34</f>
        <v/>
      </c>
      <c r="G34" s="20">
        <f>$B34</f>
        <v/>
      </c>
      <c r="H34" s="19">
        <f>$B34</f>
        <v/>
      </c>
      <c r="I34" s="20">
        <f>$B34</f>
        <v/>
      </c>
      <c r="J34" s="19">
        <f>$B34</f>
        <v/>
      </c>
      <c r="K34" s="20">
        <f>$B34</f>
        <v/>
      </c>
      <c r="M34" s="10">
        <f>(D34/$B34-1)*100</f>
        <v/>
      </c>
      <c r="N34" s="10">
        <f>(E34/$B34-1)*100</f>
        <v/>
      </c>
      <c r="O34" s="10">
        <f>(F34/$B34-1)*100</f>
        <v/>
      </c>
      <c r="P34" s="10">
        <f>(G34/$B34-1)*100</f>
        <v/>
      </c>
      <c r="Q34" s="10">
        <f>(H34/$B34-1)*100</f>
        <v/>
      </c>
      <c r="R34" s="10">
        <f>(I34/$B34-1)*100</f>
        <v/>
      </c>
      <c r="S34" s="10">
        <f>(J34/$B34-1)*100</f>
        <v/>
      </c>
      <c r="T34" s="10">
        <f>(K34/$B34-1)*100</f>
        <v/>
      </c>
    </row>
    <row r="35">
      <c r="A35" s="14" t="inlineStr">
        <is>
          <t>Health and labor costs for ewe replacements</t>
        </is>
      </c>
      <c r="B35" s="18" t="n">
        <v>10</v>
      </c>
      <c r="C35" t="inlineStr">
        <is>
          <t>$/ewe replacement</t>
        </is>
      </c>
      <c r="D35" s="10">
        <f>$B35</f>
        <v/>
      </c>
      <c r="E35" s="11">
        <f>$B35</f>
        <v/>
      </c>
      <c r="F35" s="10">
        <f>$B35</f>
        <v/>
      </c>
      <c r="G35" s="11">
        <f>$B35</f>
        <v/>
      </c>
      <c r="H35" s="10">
        <f>$B35</f>
        <v/>
      </c>
      <c r="I35" s="11">
        <f>$B35</f>
        <v/>
      </c>
      <c r="J35" s="10">
        <f>$B35</f>
        <v/>
      </c>
      <c r="K35" s="11">
        <f>$B35</f>
        <v/>
      </c>
      <c r="M35" s="10">
        <f>(D35/$B35-1)*100</f>
        <v/>
      </c>
      <c r="N35" s="10">
        <f>(E35/$B35-1)*100</f>
        <v/>
      </c>
      <c r="O35" s="10">
        <f>(F35/$B35-1)*100</f>
        <v/>
      </c>
      <c r="P35" s="10">
        <f>(G35/$B35-1)*100</f>
        <v/>
      </c>
      <c r="Q35" s="10">
        <f>(H35/$B35-1)*100</f>
        <v/>
      </c>
      <c r="R35" s="10">
        <f>(I35/$B35-1)*100</f>
        <v/>
      </c>
      <c r="S35" s="10">
        <f>(J35/$B35-1)*100</f>
        <v/>
      </c>
      <c r="T35" s="10">
        <f>(K35/$B35-1)*100</f>
        <v/>
      </c>
    </row>
    <row r="36">
      <c r="A36" s="12" t="inlineStr">
        <is>
          <t>Cull ewe market price</t>
        </is>
      </c>
      <c r="B36" s="15" t="n">
        <v>0.75</v>
      </c>
      <c r="C36" t="inlineStr">
        <is>
          <t xml:space="preserve">$/lb  </t>
        </is>
      </c>
      <c r="D36" s="21">
        <f>$B36</f>
        <v/>
      </c>
      <c r="E36" s="22">
        <f>$B36</f>
        <v/>
      </c>
      <c r="F36" s="21">
        <f>$B36</f>
        <v/>
      </c>
      <c r="G36" s="22">
        <f>$B36</f>
        <v/>
      </c>
      <c r="H36" s="21">
        <f>$B36</f>
        <v/>
      </c>
      <c r="I36" s="22">
        <f>$B36</f>
        <v/>
      </c>
      <c r="J36" s="21">
        <f>$B36</f>
        <v/>
      </c>
      <c r="K36" s="22">
        <f>$B36</f>
        <v/>
      </c>
      <c r="M36" s="10">
        <f>(D36/$B36-1)*100</f>
        <v/>
      </c>
      <c r="N36" s="10">
        <f>(E36/$B36-1)*100</f>
        <v/>
      </c>
      <c r="O36" s="10">
        <f>(F36/$B36-1)*100</f>
        <v/>
      </c>
      <c r="P36" s="10">
        <f>(G36/$B36-1)*100</f>
        <v/>
      </c>
      <c r="Q36" s="10">
        <f>(H36/$B36-1)*100</f>
        <v/>
      </c>
      <c r="R36" s="10">
        <f>(I36/$B36-1)*100</f>
        <v/>
      </c>
      <c r="S36" s="10">
        <f>(J36/$B36-1)*100</f>
        <v/>
      </c>
      <c r="T36" s="10">
        <f>(K36/$B36-1)*100</f>
        <v/>
      </c>
    </row>
    <row r="37">
      <c r="A37" t="inlineStr">
        <is>
          <t>Market price by lamb weight:</t>
        </is>
      </c>
      <c r="B37" s="23" t="n"/>
      <c r="D37" s="7" t="n"/>
      <c r="E37" s="7" t="n"/>
      <c r="F37" s="7" t="n"/>
      <c r="G37" s="7" t="n"/>
      <c r="H37" s="7" t="n"/>
      <c r="I37" s="7" t="n"/>
      <c r="J37" s="7" t="n"/>
      <c r="K37" s="7" t="n"/>
      <c r="M37" s="10">
        <f>(D37/$B37-1)*100</f>
        <v/>
      </c>
      <c r="N37" s="10">
        <f>(E37/$B37-1)*100</f>
        <v/>
      </c>
      <c r="O37" s="10">
        <f>(F37/$B37-1)*100</f>
        <v/>
      </c>
      <c r="P37" s="10">
        <f>(G37/$B37-1)*100</f>
        <v/>
      </c>
      <c r="Q37" s="10">
        <f>(H37/$B37-1)*100</f>
        <v/>
      </c>
      <c r="R37" s="10">
        <f>(I37/$B37-1)*100</f>
        <v/>
      </c>
      <c r="S37" s="10">
        <f>(J37/$B37-1)*100</f>
        <v/>
      </c>
      <c r="T37" s="10">
        <f>(K37/$B37-1)*100</f>
        <v/>
      </c>
    </row>
    <row r="38">
      <c r="A38" s="24">
        <f>B3</f>
        <v/>
      </c>
      <c r="B38" s="15" t="n">
        <v>2.4</v>
      </c>
      <c r="C38" t="inlineStr">
        <is>
          <t>$/lb</t>
        </is>
      </c>
      <c r="D38" s="21">
        <f>B38</f>
        <v/>
      </c>
      <c r="E38" s="22">
        <f>$B38</f>
        <v/>
      </c>
      <c r="F38" s="21">
        <f>$B38</f>
        <v/>
      </c>
      <c r="G38" s="22">
        <f>$B38</f>
        <v/>
      </c>
      <c r="H38" s="21">
        <f>$B38</f>
        <v/>
      </c>
      <c r="I38" s="22">
        <f>$B38</f>
        <v/>
      </c>
      <c r="J38" s="21">
        <f>$B38</f>
        <v/>
      </c>
      <c r="K38" s="22">
        <f>$B38</f>
        <v/>
      </c>
      <c r="M38" s="10">
        <f>(D38/$B38-1)*100</f>
        <v/>
      </c>
      <c r="N38" s="10">
        <f>(E38/$B38-1)*100</f>
        <v/>
      </c>
      <c r="O38" s="10">
        <f>(F38/$B38-1)*100</f>
        <v/>
      </c>
      <c r="P38" s="10">
        <f>(G38/$B38-1)*100</f>
        <v/>
      </c>
      <c r="Q38" s="10">
        <f>(H38/$B38-1)*100</f>
        <v/>
      </c>
      <c r="R38" s="10">
        <f>(I38/$B38-1)*100</f>
        <v/>
      </c>
      <c r="S38" s="10">
        <f>(J38/$B38-1)*100</f>
        <v/>
      </c>
      <c r="T38" s="10">
        <f>(K38/$B38-1)*100</f>
        <v/>
      </c>
    </row>
    <row r="39">
      <c r="A39" s="24">
        <f>A38+10</f>
        <v/>
      </c>
      <c r="B39" s="15" t="n">
        <v>2.3</v>
      </c>
      <c r="C39" t="inlineStr">
        <is>
          <t>$/lb</t>
        </is>
      </c>
      <c r="D39" s="21">
        <f>$B39</f>
        <v/>
      </c>
      <c r="E39" s="22">
        <f>$B39</f>
        <v/>
      </c>
      <c r="F39" s="21">
        <f>$B39</f>
        <v/>
      </c>
      <c r="G39" s="22">
        <f>$B39</f>
        <v/>
      </c>
      <c r="H39" s="21">
        <f>$B39</f>
        <v/>
      </c>
      <c r="I39" s="22">
        <f>$B39</f>
        <v/>
      </c>
      <c r="J39" s="21">
        <f>$B39</f>
        <v/>
      </c>
      <c r="K39" s="22">
        <f>$B39</f>
        <v/>
      </c>
      <c r="M39" s="10">
        <f>(D39/$B39-1)*100</f>
        <v/>
      </c>
      <c r="N39" s="10">
        <f>(E39/$B39-1)*100</f>
        <v/>
      </c>
      <c r="O39" s="10">
        <f>(F39/$B39-1)*100</f>
        <v/>
      </c>
      <c r="P39" s="10">
        <f>(G39/$B39-1)*100</f>
        <v/>
      </c>
      <c r="Q39" s="10">
        <f>(H39/$B39-1)*100</f>
        <v/>
      </c>
      <c r="R39" s="10">
        <f>(I39/$B39-1)*100</f>
        <v/>
      </c>
      <c r="S39" s="10">
        <f>(J39/$B39-1)*100</f>
        <v/>
      </c>
      <c r="T39" s="10">
        <f>(K39/$B39-1)*100</f>
        <v/>
      </c>
    </row>
    <row r="40">
      <c r="A40" s="24">
        <f>A39+10</f>
        <v/>
      </c>
      <c r="B40" s="15" t="n">
        <v>2.25</v>
      </c>
      <c r="C40" t="inlineStr">
        <is>
          <t>$/lb</t>
        </is>
      </c>
      <c r="D40" s="21">
        <f>$B40</f>
        <v/>
      </c>
      <c r="E40" s="22">
        <f>$B40</f>
        <v/>
      </c>
      <c r="F40" s="21">
        <f>$B40</f>
        <v/>
      </c>
      <c r="G40" s="22">
        <f>$B40</f>
        <v/>
      </c>
      <c r="H40" s="21">
        <f>$B40</f>
        <v/>
      </c>
      <c r="I40" s="22">
        <f>$B40</f>
        <v/>
      </c>
      <c r="J40" s="21">
        <f>$B40</f>
        <v/>
      </c>
      <c r="K40" s="22">
        <f>$B40</f>
        <v/>
      </c>
      <c r="M40" s="10">
        <f>(D40/$B40-1)*100</f>
        <v/>
      </c>
      <c r="N40" s="10">
        <f>(E40/$B40-1)*100</f>
        <v/>
      </c>
      <c r="O40" s="10">
        <f>(F40/$B40-1)*100</f>
        <v/>
      </c>
      <c r="P40" s="10">
        <f>(G40/$B40-1)*100</f>
        <v/>
      </c>
      <c r="Q40" s="10">
        <f>(H40/$B40-1)*100</f>
        <v/>
      </c>
      <c r="R40" s="10">
        <f>(I40/$B40-1)*100</f>
        <v/>
      </c>
      <c r="S40" s="10">
        <f>(J40/$B40-1)*100</f>
        <v/>
      </c>
      <c r="T40" s="10">
        <f>(K40/$B40-1)*100</f>
        <v/>
      </c>
    </row>
    <row r="41">
      <c r="A41" s="24">
        <f>A40+10</f>
        <v/>
      </c>
      <c r="B41" s="15" t="n">
        <v>2.15</v>
      </c>
      <c r="C41" t="inlineStr">
        <is>
          <t>$/lb</t>
        </is>
      </c>
      <c r="D41" s="21">
        <f>$B41</f>
        <v/>
      </c>
      <c r="E41" s="22">
        <f>$B41</f>
        <v/>
      </c>
      <c r="F41" s="21">
        <f>$B41</f>
        <v/>
      </c>
      <c r="G41" s="22">
        <f>$B41</f>
        <v/>
      </c>
      <c r="H41" s="21">
        <f>$B41</f>
        <v/>
      </c>
      <c r="I41" s="22">
        <f>$B41</f>
        <v/>
      </c>
      <c r="J41" s="21">
        <f>$B41</f>
        <v/>
      </c>
      <c r="K41" s="22">
        <f>$B41</f>
        <v/>
      </c>
      <c r="M41" s="10">
        <f>(D41/$B41-1)*100</f>
        <v/>
      </c>
      <c r="N41" s="10">
        <f>(E41/$B41-1)*100</f>
        <v/>
      </c>
      <c r="O41" s="10">
        <f>(F41/$B41-1)*100</f>
        <v/>
      </c>
      <c r="P41" s="10">
        <f>(G41/$B41-1)*100</f>
        <v/>
      </c>
      <c r="Q41" s="10">
        <f>(H41/$B41-1)*100</f>
        <v/>
      </c>
      <c r="R41" s="10">
        <f>(I41/$B41-1)*100</f>
        <v/>
      </c>
      <c r="S41" s="10">
        <f>(J41/$B41-1)*100</f>
        <v/>
      </c>
      <c r="T41" s="10">
        <f>(K41/$B41-1)*100</f>
        <v/>
      </c>
    </row>
    <row r="42">
      <c r="A42" s="24">
        <f>A41+10</f>
        <v/>
      </c>
      <c r="B42" s="15" t="n">
        <v>2.05</v>
      </c>
      <c r="C42" t="inlineStr">
        <is>
          <t>$/lb</t>
        </is>
      </c>
      <c r="D42" s="21">
        <f>$B42</f>
        <v/>
      </c>
      <c r="E42" s="22">
        <f>$B42</f>
        <v/>
      </c>
      <c r="F42" s="21">
        <f>$B42</f>
        <v/>
      </c>
      <c r="G42" s="22">
        <f>$B42</f>
        <v/>
      </c>
      <c r="H42" s="21">
        <f>$B42</f>
        <v/>
      </c>
      <c r="I42" s="22">
        <f>$B42</f>
        <v/>
      </c>
      <c r="J42" s="21">
        <f>$B42</f>
        <v/>
      </c>
      <c r="K42" s="22">
        <f>$B42</f>
        <v/>
      </c>
      <c r="M42" s="10">
        <f>(D42/$B42-1)*100</f>
        <v/>
      </c>
      <c r="N42" s="10">
        <f>(E42/$B42-1)*100</f>
        <v/>
      </c>
      <c r="O42" s="10">
        <f>(F42/$B42-1)*100</f>
        <v/>
      </c>
      <c r="P42" s="10">
        <f>(G42/$B42-1)*100</f>
        <v/>
      </c>
      <c r="Q42" s="10">
        <f>(H42/$B42-1)*100</f>
        <v/>
      </c>
      <c r="R42" s="10">
        <f>(I42/$B42-1)*100</f>
        <v/>
      </c>
      <c r="S42" s="10">
        <f>(J42/$B42-1)*100</f>
        <v/>
      </c>
      <c r="T42" s="10">
        <f>(K42/$B42-1)*100</f>
        <v/>
      </c>
    </row>
    <row r="43">
      <c r="A43" s="24">
        <f>A42+10</f>
        <v/>
      </c>
      <c r="B43" s="15" t="n">
        <v>1.95</v>
      </c>
      <c r="C43" t="inlineStr">
        <is>
          <t>$/lb</t>
        </is>
      </c>
      <c r="D43" s="21">
        <f>$B43</f>
        <v/>
      </c>
      <c r="E43" s="22">
        <f>$B43</f>
        <v/>
      </c>
      <c r="F43" s="21">
        <f>$B43</f>
        <v/>
      </c>
      <c r="G43" s="22">
        <f>$B43</f>
        <v/>
      </c>
      <c r="H43" s="21">
        <f>$B43</f>
        <v/>
      </c>
      <c r="I43" s="22">
        <f>$B43</f>
        <v/>
      </c>
      <c r="J43" s="21">
        <f>$B43</f>
        <v/>
      </c>
      <c r="K43" s="22">
        <f>$B43</f>
        <v/>
      </c>
      <c r="M43" s="10">
        <f>(D43/$B43-1)*100</f>
        <v/>
      </c>
      <c r="N43" s="10">
        <f>(E43/$B43-1)*100</f>
        <v/>
      </c>
      <c r="O43" s="10">
        <f>(F43/$B43-1)*100</f>
        <v/>
      </c>
      <c r="P43" s="10">
        <f>(G43/$B43-1)*100</f>
        <v/>
      </c>
      <c r="Q43" s="10">
        <f>(H43/$B43-1)*100</f>
        <v/>
      </c>
      <c r="R43" s="10">
        <f>(I43/$B43-1)*100</f>
        <v/>
      </c>
      <c r="S43" s="10">
        <f>(J43/$B43-1)*100</f>
        <v/>
      </c>
      <c r="T43" s="10">
        <f>(K43/$B43-1)*100</f>
        <v/>
      </c>
    </row>
    <row r="44">
      <c r="A44" s="24">
        <f>A43+10</f>
        <v/>
      </c>
      <c r="B44" s="15" t="n">
        <v>1.85</v>
      </c>
      <c r="C44" t="inlineStr">
        <is>
          <t>$/lb</t>
        </is>
      </c>
      <c r="D44" s="21">
        <f>$B44</f>
        <v/>
      </c>
      <c r="E44" s="22">
        <f>$B44</f>
        <v/>
      </c>
      <c r="F44" s="21">
        <f>$B44</f>
        <v/>
      </c>
      <c r="G44" s="22">
        <f>$B44</f>
        <v/>
      </c>
      <c r="H44" s="21">
        <f>$B44</f>
        <v/>
      </c>
      <c r="I44" s="22">
        <f>$B44</f>
        <v/>
      </c>
      <c r="J44" s="21">
        <f>$B44</f>
        <v/>
      </c>
      <c r="K44" s="22">
        <f>$B44</f>
        <v/>
      </c>
      <c r="M44" s="10">
        <f>(D44/$B44-1)*100</f>
        <v/>
      </c>
      <c r="N44" s="10">
        <f>(E44/$B44-1)*100</f>
        <v/>
      </c>
      <c r="O44" s="10">
        <f>(F44/$B44-1)*100</f>
        <v/>
      </c>
      <c r="P44" s="10">
        <f>(G44/$B44-1)*100</f>
        <v/>
      </c>
      <c r="Q44" s="10">
        <f>(H44/$B44-1)*100</f>
        <v/>
      </c>
      <c r="R44" s="10">
        <f>(I44/$B44-1)*100</f>
        <v/>
      </c>
      <c r="S44" s="10">
        <f>(J44/$B44-1)*100</f>
        <v/>
      </c>
      <c r="T44" s="10">
        <f>(K44/$B44-1)*100</f>
        <v/>
      </c>
    </row>
    <row r="45">
      <c r="A45" s="24">
        <f>A44+10</f>
        <v/>
      </c>
      <c r="B45" s="15" t="n">
        <v>1.68</v>
      </c>
      <c r="C45" t="inlineStr">
        <is>
          <t>$/lb</t>
        </is>
      </c>
      <c r="D45" s="21">
        <f>$B45</f>
        <v/>
      </c>
      <c r="E45" s="22">
        <f>$B45</f>
        <v/>
      </c>
      <c r="F45" s="21">
        <f>$B45</f>
        <v/>
      </c>
      <c r="G45" s="22">
        <f>$B45</f>
        <v/>
      </c>
      <c r="H45" s="21">
        <f>$B45</f>
        <v/>
      </c>
      <c r="I45" s="22">
        <f>$B45</f>
        <v/>
      </c>
      <c r="J45" s="21">
        <f>$B45</f>
        <v/>
      </c>
      <c r="K45" s="22">
        <f>$B45</f>
        <v/>
      </c>
      <c r="M45" s="10">
        <f>(D45/$B45-1)*100</f>
        <v/>
      </c>
      <c r="N45" s="10">
        <f>(E45/$B45-1)*100</f>
        <v/>
      </c>
      <c r="O45" s="10">
        <f>(F45/$B45-1)*100</f>
        <v/>
      </c>
      <c r="P45" s="10">
        <f>(G45/$B45-1)*100</f>
        <v/>
      </c>
      <c r="Q45" s="10">
        <f>(H45/$B45-1)*100</f>
        <v/>
      </c>
      <c r="R45" s="10">
        <f>(I45/$B45-1)*100</f>
        <v/>
      </c>
      <c r="S45" s="10">
        <f>(J45/$B45-1)*100</f>
        <v/>
      </c>
      <c r="T45" s="10">
        <f>(K45/$B45-1)*100</f>
        <v/>
      </c>
    </row>
    <row r="46">
      <c r="A46" s="24">
        <f>A45+10</f>
        <v/>
      </c>
      <c r="B46" s="15" t="n">
        <v>1.65</v>
      </c>
      <c r="C46" t="inlineStr">
        <is>
          <t>$/lb</t>
        </is>
      </c>
      <c r="D46" s="21">
        <f>$B46</f>
        <v/>
      </c>
      <c r="E46" s="22">
        <f>$B46</f>
        <v/>
      </c>
      <c r="F46" s="21">
        <f>$B46</f>
        <v/>
      </c>
      <c r="G46" s="22">
        <f>$B46</f>
        <v/>
      </c>
      <c r="H46" s="21">
        <f>$B46</f>
        <v/>
      </c>
      <c r="I46" s="22">
        <f>$B46</f>
        <v/>
      </c>
      <c r="J46" s="21">
        <f>$B46</f>
        <v/>
      </c>
      <c r="K46" s="22">
        <f>$B46</f>
        <v/>
      </c>
      <c r="M46" s="10">
        <f>(D46/$B46-1)*100</f>
        <v/>
      </c>
      <c r="N46" s="10">
        <f>(E46/$B46-1)*100</f>
        <v/>
      </c>
      <c r="O46" s="10">
        <f>(F46/$B46-1)*100</f>
        <v/>
      </c>
      <c r="P46" s="10">
        <f>(G46/$B46-1)*100</f>
        <v/>
      </c>
      <c r="Q46" s="10">
        <f>(H46/$B46-1)*100</f>
        <v/>
      </c>
      <c r="R46" s="10">
        <f>(I46/$B46-1)*100</f>
        <v/>
      </c>
      <c r="S46" s="10">
        <f>(J46/$B46-1)*100</f>
        <v/>
      </c>
      <c r="T46" s="10">
        <f>(K46/$B46-1)*100</f>
        <v/>
      </c>
    </row>
    <row r="47">
      <c r="A47" s="24">
        <f>A46+10</f>
        <v/>
      </c>
      <c r="B47" s="15" t="n">
        <v>1.6</v>
      </c>
      <c r="C47" t="inlineStr">
        <is>
          <t>$/lb</t>
        </is>
      </c>
      <c r="D47" s="21">
        <f>$B47</f>
        <v/>
      </c>
      <c r="E47" s="22">
        <f>$B47</f>
        <v/>
      </c>
      <c r="F47" s="21">
        <f>$B47</f>
        <v/>
      </c>
      <c r="G47" s="22">
        <f>$B47</f>
        <v/>
      </c>
      <c r="H47" s="21">
        <f>$B47</f>
        <v/>
      </c>
      <c r="I47" s="22">
        <f>$B47</f>
        <v/>
      </c>
      <c r="J47" s="21">
        <f>$B47</f>
        <v/>
      </c>
      <c r="K47" s="22">
        <f>$B47</f>
        <v/>
      </c>
      <c r="M47" s="10">
        <f>(D47/$B47-1)*100</f>
        <v/>
      </c>
      <c r="N47" s="10">
        <f>(E47/$B47-1)*100</f>
        <v/>
      </c>
      <c r="O47" s="10">
        <f>(F47/$B47-1)*100</f>
        <v/>
      </c>
      <c r="P47" s="10">
        <f>(G47/$B47-1)*100</f>
        <v/>
      </c>
      <c r="Q47" s="10">
        <f>(H47/$B47-1)*100</f>
        <v/>
      </c>
      <c r="R47" s="10">
        <f>(I47/$B47-1)*100</f>
        <v/>
      </c>
      <c r="S47" s="10">
        <f>(J47/$B47-1)*100</f>
        <v/>
      </c>
      <c r="T47" s="10">
        <f>(K47/$B47-1)*100</f>
        <v/>
      </c>
    </row>
    <row r="48">
      <c r="A48" s="24">
        <f>A47+10</f>
        <v/>
      </c>
      <c r="B48" s="15" t="n">
        <v>1.55</v>
      </c>
      <c r="C48" t="inlineStr">
        <is>
          <t>$/lb</t>
        </is>
      </c>
      <c r="D48" s="21">
        <f>$B48</f>
        <v/>
      </c>
      <c r="E48" s="22">
        <f>$B48</f>
        <v/>
      </c>
      <c r="F48" s="21">
        <f>$B48</f>
        <v/>
      </c>
      <c r="G48" s="22">
        <f>$B48</f>
        <v/>
      </c>
      <c r="H48" s="21">
        <f>$B48</f>
        <v/>
      </c>
      <c r="I48" s="22">
        <f>$B48</f>
        <v/>
      </c>
      <c r="J48" s="21">
        <f>$B48</f>
        <v/>
      </c>
      <c r="K48" s="22">
        <f>$B48</f>
        <v/>
      </c>
      <c r="M48" s="10">
        <f>(D48/$B48-1)*100</f>
        <v/>
      </c>
      <c r="N48" s="10">
        <f>(E48/$B48-1)*100</f>
        <v/>
      </c>
      <c r="O48" s="10">
        <f>(F48/$B48-1)*100</f>
        <v/>
      </c>
      <c r="P48" s="10">
        <f>(G48/$B48-1)*100</f>
        <v/>
      </c>
      <c r="Q48" s="10">
        <f>(H48/$B48-1)*100</f>
        <v/>
      </c>
      <c r="R48" s="10">
        <f>(I48/$B48-1)*100</f>
        <v/>
      </c>
      <c r="S48" s="10">
        <f>(J48/$B48-1)*100</f>
        <v/>
      </c>
      <c r="T48" s="10">
        <f>(K48/$B48-1)*100</f>
        <v/>
      </c>
    </row>
    <row r="49">
      <c r="A49" s="24">
        <f>A48+10</f>
        <v/>
      </c>
      <c r="B49" s="15" t="n">
        <v>1.4</v>
      </c>
      <c r="C49" t="inlineStr">
        <is>
          <t>$/lb</t>
        </is>
      </c>
      <c r="D49" s="21">
        <f>$B49</f>
        <v/>
      </c>
      <c r="E49" s="22">
        <f>$B49</f>
        <v/>
      </c>
      <c r="F49" s="21">
        <f>$B49</f>
        <v/>
      </c>
      <c r="G49" s="22">
        <f>$B49</f>
        <v/>
      </c>
      <c r="H49" s="21">
        <f>$B49</f>
        <v/>
      </c>
      <c r="I49" s="22">
        <f>$B49</f>
        <v/>
      </c>
      <c r="J49" s="21">
        <f>$B49</f>
        <v/>
      </c>
      <c r="K49" s="22">
        <f>$B49</f>
        <v/>
      </c>
      <c r="M49" s="10">
        <f>(D49/$B49-1)*100</f>
        <v/>
      </c>
      <c r="N49" s="10">
        <f>(E49/$B49-1)*100</f>
        <v/>
      </c>
      <c r="O49" s="10">
        <f>(F49/$B49-1)*100</f>
        <v/>
      </c>
      <c r="P49" s="10">
        <f>(G49/$B49-1)*100</f>
        <v/>
      </c>
      <c r="Q49" s="10">
        <f>(H49/$B49-1)*100</f>
        <v/>
      </c>
      <c r="R49" s="10">
        <f>(I49/$B49-1)*100</f>
        <v/>
      </c>
      <c r="S49" s="10">
        <f>(J49/$B49-1)*100</f>
        <v/>
      </c>
      <c r="T49" s="10">
        <f>(K49/$B49-1)*100</f>
        <v/>
      </c>
    </row>
    <row r="50">
      <c r="A50" s="24">
        <f>A49+10</f>
        <v/>
      </c>
      <c r="B50" s="15" t="n">
        <v>1.3</v>
      </c>
      <c r="C50" t="inlineStr">
        <is>
          <t>$/lb</t>
        </is>
      </c>
      <c r="D50" s="21">
        <f>$B50</f>
        <v/>
      </c>
      <c r="E50" s="22">
        <f>$B50</f>
        <v/>
      </c>
      <c r="F50" s="21">
        <f>$B50</f>
        <v/>
      </c>
      <c r="G50" s="22">
        <f>$B50</f>
        <v/>
      </c>
      <c r="H50" s="21">
        <f>$B50</f>
        <v/>
      </c>
      <c r="I50" s="22">
        <f>$B50</f>
        <v/>
      </c>
      <c r="J50" s="21">
        <f>$B50</f>
        <v/>
      </c>
      <c r="K50" s="22">
        <f>$B50</f>
        <v/>
      </c>
      <c r="M50" s="10">
        <f>(D50/$B50-1)*100</f>
        <v/>
      </c>
      <c r="N50" s="10">
        <f>(E50/$B50-1)*100</f>
        <v/>
      </c>
      <c r="O50" s="10">
        <f>(F50/$B50-1)*100</f>
        <v/>
      </c>
      <c r="P50" s="10">
        <f>(G50/$B50-1)*100</f>
        <v/>
      </c>
      <c r="Q50" s="10">
        <f>(H50/$B50-1)*100</f>
        <v/>
      </c>
      <c r="R50" s="10">
        <f>(I50/$B50-1)*100</f>
        <v/>
      </c>
      <c r="S50" s="10">
        <f>(J50/$B50-1)*100</f>
        <v/>
      </c>
      <c r="T50" s="10">
        <f>(K50/$B50-1)*100</f>
        <v/>
      </c>
    </row>
    <row r="51">
      <c r="A51" s="24">
        <f>A50+10</f>
        <v/>
      </c>
      <c r="B51" s="15" t="n">
        <v>1.25</v>
      </c>
      <c r="C51" t="inlineStr">
        <is>
          <t>$/lb</t>
        </is>
      </c>
      <c r="D51" s="21">
        <f>$B51</f>
        <v/>
      </c>
      <c r="E51" s="22">
        <f>$B51</f>
        <v/>
      </c>
      <c r="F51" s="21">
        <f>$B51</f>
        <v/>
      </c>
      <c r="G51" s="22">
        <f>$B51</f>
        <v/>
      </c>
      <c r="H51" s="21">
        <f>$B51</f>
        <v/>
      </c>
      <c r="I51" s="22">
        <f>$B51</f>
        <v/>
      </c>
      <c r="J51" s="21">
        <f>$B51</f>
        <v/>
      </c>
      <c r="K51" s="22">
        <f>$B51</f>
        <v/>
      </c>
      <c r="M51" s="10">
        <f>(D51/$B51-1)*100</f>
        <v/>
      </c>
      <c r="N51" s="10">
        <f>(E51/$B51-1)*100</f>
        <v/>
      </c>
      <c r="O51" s="10">
        <f>(F51/$B51-1)*100</f>
        <v/>
      </c>
      <c r="P51" s="10">
        <f>(G51/$B51-1)*100</f>
        <v/>
      </c>
      <c r="Q51" s="10">
        <f>(H51/$B51-1)*100</f>
        <v/>
      </c>
      <c r="R51" s="10">
        <f>(I51/$B51-1)*100</f>
        <v/>
      </c>
      <c r="S51" s="10">
        <f>(J51/$B51-1)*100</f>
        <v/>
      </c>
      <c r="T51" s="10">
        <f>(K51/$B51-1)*100</f>
        <v/>
      </c>
    </row>
    <row r="52">
      <c r="A52" s="24">
        <f>A51+10</f>
        <v/>
      </c>
      <c r="B52" s="15" t="n">
        <v>1.2</v>
      </c>
      <c r="C52" t="inlineStr">
        <is>
          <t>$/lb</t>
        </is>
      </c>
      <c r="D52" s="21">
        <f>$B52</f>
        <v/>
      </c>
      <c r="E52" s="22">
        <f>$B52</f>
        <v/>
      </c>
      <c r="F52" s="21">
        <f>$B52</f>
        <v/>
      </c>
      <c r="G52" s="22">
        <f>$B52</f>
        <v/>
      </c>
      <c r="H52" s="21">
        <f>$B52</f>
        <v/>
      </c>
      <c r="I52" s="22">
        <f>$B52</f>
        <v/>
      </c>
      <c r="J52" s="21">
        <f>$B52</f>
        <v/>
      </c>
      <c r="K52" s="22">
        <f>$B52</f>
        <v/>
      </c>
      <c r="M52" s="10">
        <f>(D52/$B52-1)*100</f>
        <v/>
      </c>
      <c r="N52" s="10">
        <f>(E52/$B52-1)*100</f>
        <v/>
      </c>
      <c r="O52" s="10">
        <f>(F52/$B52-1)*100</f>
        <v/>
      </c>
      <c r="P52" s="10">
        <f>(G52/$B52-1)*100</f>
        <v/>
      </c>
      <c r="Q52" s="10">
        <f>(H52/$B52-1)*100</f>
        <v/>
      </c>
      <c r="R52" s="10">
        <f>(I52/$B52-1)*100</f>
        <v/>
      </c>
      <c r="S52" s="10">
        <f>(J52/$B52-1)*100</f>
        <v/>
      </c>
      <c r="T52" s="10">
        <f>(K52/$B52-1)*100</f>
        <v/>
      </c>
    </row>
    <row r="56">
      <c r="A56" s="5" t="inlineStr">
        <is>
          <t>Produced by Erin Recktenwald and Richard Ehrhardt</t>
        </is>
      </c>
    </row>
    <row r="57">
      <c r="A57" s="5" t="inlineStr">
        <is>
          <t>Michigan State University</t>
        </is>
      </c>
    </row>
    <row r="58">
      <c r="A58" s="5" t="inlineStr">
        <is>
          <t>Version 1.3; October 16, 2018</t>
        </is>
      </c>
    </row>
    <row r="59" ht="67.5" customHeight="1">
      <c r="A59" s="25" t="inlineStr">
        <is>
          <t>Support for this work comes from the American Lamb Board and from the United States Department of Agriculture's Agriculture and Food Research Initiative (USDA AFRI), AFRI award number 2014-68006-21870</t>
        </is>
      </c>
    </row>
  </sheetData>
  <mergeCells count="1">
    <mergeCell ref="B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2026-05-04T14:17:21Z</dcterms:created>
  <dcterms:modified xsi:type="dcterms:W3CDTF">2026-05-04T14:17:21Z</dcterms:modified>
</cp:coreProperties>
</file>