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\(#,##0.0\);\-_)"/>
    <numFmt numFmtId="165" formatCode="&quot;£&quot;#,##0.00_);[Red]\(&quot;£&quot;#,##0.00\)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sz val="10"/>
    </font>
    <font>
      <b val="1"/>
      <color rgb="00A6A6A6"/>
    </font>
  </fonts>
  <fills count="9">
    <fill>
      <patternFill/>
    </fill>
    <fill>
      <patternFill patternType="gray125"/>
    </fill>
    <fill>
      <patternFill patternType="solid">
        <fgColor rgb="008EB4E3"/>
        <bgColor rgb="008EB4E3"/>
      </patternFill>
    </fill>
    <fill>
      <patternFill patternType="solid">
        <fgColor rgb="00C7DAF1"/>
        <bgColor rgb="00C7DAF1"/>
      </patternFill>
    </fill>
    <fill>
      <patternFill patternType="solid">
        <fgColor rgb="00C0C0C0"/>
        <bgColor rgb="00C0C0C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D9D9D9"/>
        <bgColor rgb="00D9D9D9"/>
      </patternFill>
    </fill>
    <fill>
      <patternFill patternType="solid">
        <fgColor rgb="00B9CDE5"/>
        <bgColor rgb="00B9CD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1" fillId="0" borderId="0" pivotButton="0" quotePrefix="0" xfId="0"/>
    <xf numFmtId="0" fontId="1" fillId="5" borderId="1" applyAlignment="1" pivotButton="0" quotePrefix="0" xfId="0">
      <alignment horizontal="center" wrapText="1"/>
    </xf>
    <xf numFmtId="165" fontId="1" fillId="6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1" fillId="0" borderId="1" pivotButton="0" quotePrefix="0" xfId="0"/>
    <xf numFmtId="164" fontId="0" fillId="4" borderId="1" pivotButton="0" quotePrefix="0" xfId="0"/>
    <xf numFmtId="0" fontId="1" fillId="3" borderId="1" pivotButton="0" quotePrefix="0" xfId="0"/>
    <xf numFmtId="0" fontId="2" fillId="0" borderId="0" pivotButton="0" quotePrefix="0" xfId="0"/>
    <xf numFmtId="0" fontId="1" fillId="6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0" fillId="8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165"/>
  <sheetViews>
    <sheetView workbookViewId="0">
      <selection activeCell="A1" sqref="A1"/>
    </sheetView>
  </sheetViews>
  <sheetFormatPr baseColWidth="8" defaultColWidth="11" defaultRowHeight="15.5"/>
  <cols>
    <col width="10.83203125" customWidth="1" min="1" max="1"/>
    <col width="37.83203125" customWidth="1" min="2" max="2"/>
    <col width="13.5" customWidth="1" min="3" max="3"/>
    <col width="14.08203125" customWidth="1" min="20" max="20"/>
  </cols>
  <sheetData>
    <row r="1" ht="16" customHeight="1"/>
    <row r="2" ht="42" customHeight="1">
      <c r="B2" s="1" t="inlineStr">
        <is>
          <t>Table A: Project Capex Summary (2021/22 prices)</t>
        </is>
      </c>
      <c r="C2" s="2" t="inlineStr">
        <is>
          <t>Construction completion</t>
        </is>
      </c>
      <c r="D2" s="2" t="inlineStr">
        <is>
          <t>Asset lifetime</t>
        </is>
      </c>
      <c r="E2" s="2" t="inlineStr">
        <is>
          <t>Rating (MVA/MW)</t>
        </is>
      </c>
      <c r="F2" s="2" t="inlineStr">
        <is>
          <t>Quantity</t>
        </is>
      </c>
      <c r="G2" s="2" t="inlineStr">
        <is>
          <t>Total Element cost GBP</t>
        </is>
      </c>
    </row>
    <row r="3">
      <c r="B3" s="3" t="inlineStr">
        <is>
          <t>Cable Total</t>
        </is>
      </c>
      <c r="C3" s="4">
        <f>IF(MAX(C4:C7)=0,"-",MAX(C4:C7))</f>
        <v/>
      </c>
      <c r="D3" s="5">
        <f>IF(MIN(J57:J64,J69:J76)=0,"-",MIN(J57:J64,J69:J76))&amp;IF(OR(MAX(J57:J64,J69:J76)=0,IF(MIN(J57:J64,J69:J76)=0,"",MIN(J57:J64,J69:J76))=MAX(J57:J64,J69:J76)),""," - "&amp;MAX(J57:J64,J69:J76))</f>
        <v/>
      </c>
      <c r="E3" s="5">
        <f>IF(MIN(M57:M64,M69:M76)=0,"-",MIN(M57:M64,M69:M76))&amp;IF(OR(MAX(M57:M64,M69:M76)=0,IF(MIN(M57:M64,M69:M76)=0,"",MIN(M57:M64,M69:M76))=MAX(M57:M64,M69:M76)),""," - "&amp;MAX(M57:M64,M69:M76))</f>
        <v/>
      </c>
      <c r="F3" s="5">
        <f>IF(OR(SUM(F4:F7)=0,SUM(F4:F7)=""),"-",SUM(F4:F7))</f>
        <v/>
      </c>
      <c r="G3" s="5">
        <f>IF(OR(SUM(G4:G7)=0,SUM(G4:G7)=""),"-",SUM(G4:G7))</f>
        <v/>
      </c>
    </row>
    <row r="4">
      <c r="B4" s="6" t="inlineStr">
        <is>
          <t>Subsea Cable</t>
        </is>
      </c>
      <c r="C4" s="4">
        <f>IF(MAX(H57:H60)=0,"-",MAX(H57:H60))</f>
        <v/>
      </c>
      <c r="D4" s="4">
        <f>IF(MIN(J57:J60)=0,"-",MIN(J57:J60))&amp;IF(OR(MAX(J57:J60)=0,IF(MIN(J57:J60)=0,"",MIN(J57:J60))=MAX(J57:J60)),""," - "&amp;MAX(J57:J60))</f>
        <v/>
      </c>
      <c r="E4" s="4">
        <f>IF(MIN(M57:M60)=0,"-",MIN(M57:M60))&amp;IF(OR(MAX(M57:M60)=0,IF(MIN(M57:M60)=0,"",MIN(M57:M60))=MAX(M57:M60)),""," - "&amp;MAX(M57:M60))</f>
        <v/>
      </c>
      <c r="F4" s="4">
        <f>IF(OR(SUM(O57:O60)=0,SUM(O57:O60)=""),"-",SUM(O57:O60))</f>
        <v/>
      </c>
      <c r="G4" s="4">
        <f>IF(OR(SUM(N57:N60)=0,SUM(N57:N60)=""),"-",SUM(N57:N60))</f>
        <v/>
      </c>
    </row>
    <row r="5">
      <c r="B5" s="6" t="inlineStr">
        <is>
          <t>Underground Cable</t>
        </is>
      </c>
      <c r="C5" s="4">
        <f>IF(MAX(H61:H64)=0,"-",MAX(H61:H64))</f>
        <v/>
      </c>
      <c r="D5" s="4">
        <f>IF(MIN(J61:J64)=0,"-",MIN(J61:J64))&amp;IF(OR(MAX(J61:J64)=0,IF(MIN(J61:J64)=0,"",MIN(J61:J64))=MAX(J61:J64)),""," - "&amp;MAX(J61:J64))</f>
        <v/>
      </c>
      <c r="E5" s="4">
        <f>IF(MIN(M61:M64)=0,"-",MIN(M61:M64))&amp;IF(OR(MAX(M61:M64)=0,IF(MIN(M61:M64)=0,"",MIN(M61:M64))=MAX(M61:M64)),""," - "&amp;MAX(M61:M64))</f>
        <v/>
      </c>
      <c r="F5" s="4">
        <f>IF(OR(SUM(O61:O64)=0,SUM(O61:O64)=""),"-",SUM(O61:O64))</f>
        <v/>
      </c>
      <c r="G5" s="4">
        <f>IF(OR(SUM(N61:N64)=0,SUM(N61:N64)=""),"-",SUM(N61:N64))</f>
        <v/>
      </c>
    </row>
    <row r="6">
      <c r="B6" s="6" t="inlineStr">
        <is>
          <t>Overhead line</t>
        </is>
      </c>
      <c r="C6" s="4">
        <f>IF(MAX(H69:H72)=0,"-",MAX(H69:H72))</f>
        <v/>
      </c>
      <c r="D6" s="4">
        <f>IF(MIN(J69:J72)=0,"-",MIN(J69:J72))&amp;IF(OR(MAX(J69:J72)=0,IF(MIN(J69:J72)=0,"",MIN(J69:J72))=MAX(J69:J72)),""," - "&amp;MAX(J69:J72))</f>
        <v/>
      </c>
      <c r="E6" s="4">
        <f>IF(MIN(M69:M72)=0,"-",MIN(M69:M72))&amp;IF(OR(MAX(M69:M72)=0,IF(MIN(M69:M72)=0,"",MIN(M69:M72))=MAX(M69:M72)),""," - "&amp;MAX(M69:M72))</f>
        <v/>
      </c>
      <c r="F6" s="4">
        <f>IF(OR(SUM(O69:O72)=0,SUM(O69:O72)=""),"-",SUM(O69:O72))</f>
        <v/>
      </c>
      <c r="G6" s="4">
        <f>IF(OR(SUM(N69:N72)=0,SUM(N69:N72)=""),"-",SUM(N69:N72))</f>
        <v/>
      </c>
    </row>
    <row r="7">
      <c r="B7" s="6" t="inlineStr">
        <is>
          <t>AC gas insulated line</t>
        </is>
      </c>
      <c r="C7" s="4">
        <f>IF(MAX(H73:H76)=0,"-",MAX(H73:H76))</f>
        <v/>
      </c>
      <c r="D7" s="4">
        <f>IF(MIN(J73:J76)=0,"-",MIN(J73:J76))&amp;IF(OR(MAX(J73:J76)=0,IF(MIN(J73:J76)=0,"",MIN(J73:J76))=MAX(J73:J76)),""," - "&amp;MAX(J73:J76))</f>
        <v/>
      </c>
      <c r="E7" s="4">
        <f>IF(MIN(M73:M76)=0,"-",MIN(M73:M76))&amp;IF(OR(MAX(M73:M76)=0,IF(MIN(M73:M76)=0,"",MIN(M73:M76))=MAX(M73:M76)),""," - "&amp;MAX(M73:M76))</f>
        <v/>
      </c>
      <c r="F7" s="4">
        <f>IF(OR(SUM(O73:O76)=0,SUM(O73:O76)=""),"-",SUM(O73:O76))</f>
        <v/>
      </c>
      <c r="G7" s="4">
        <f>IF(OR(SUM(N73:N76)=0,SUM(N73:N76)=""),"-",SUM(N73:N76))</f>
        <v/>
      </c>
    </row>
    <row r="8">
      <c r="B8" s="3" t="inlineStr">
        <is>
          <t>Tunnel</t>
        </is>
      </c>
      <c r="C8" s="4">
        <f>IF(MAX(H65:H68)=0,"-",MAX(H65:H68))</f>
        <v/>
      </c>
      <c r="D8" s="5">
        <f>IF(MIN(J65:J68)=0,"-",MIN(J65:J68))&amp;IF(OR(MAX(J65:J68)=0,IF(MIN(J65:J68)=0,"",MIN(J65:J68))=MAX(J65:J68)),""," - "&amp;MAX(J65:J68))</f>
        <v/>
      </c>
      <c r="E8" s="4">
        <f>IF(MIN(M65:M68)=0,"-",MIN(M65:M68))&amp;IF(OR(MAX(M65:M68)=0,IF(MIN(M65:M68)=0,"",MIN(M65:M68))=MAX(M65:M68)),""," - "&amp;MAX(M65:M68))</f>
        <v/>
      </c>
      <c r="F8" s="5">
        <f>IF(OR(SUM(O65:O68)=0,SUM(O65:O68)=""),"-",SUM(O65:O68))</f>
        <v/>
      </c>
      <c r="G8" s="5">
        <f>IF(OR(SUM(N65:N68)=0,SUM(N65:N68)=""),"-",SUM(N65:N68))</f>
        <v/>
      </c>
    </row>
    <row r="9">
      <c r="B9" s="3" t="inlineStr">
        <is>
          <t>Substations</t>
        </is>
      </c>
      <c r="C9" s="4">
        <f>IF(MAX(H81:H84)=0,"-",MAX(H81:H84))</f>
        <v/>
      </c>
      <c r="D9" s="5">
        <f>IF(MIN(J81:J84)=0,"-",MIN(J81:J84))&amp;IF(OR(MAX(J81:J84)=0,IF(MIN(J81:J84)=0,"",MIN(J81:J84))=MAX(J81:J84)),""," - "&amp;MAX(J81:J84))</f>
        <v/>
      </c>
      <c r="E9" s="4">
        <f>IF(MIN(M81:M84)=0,"-",MIN(M81:M84))&amp;IF(OR(MAX(M81:M84)=0,IF(MIN(M81:M84)=0,"",MIN(M81:M84))=MAX(M81:M84)),""," - "&amp;MAX(M81:M84))</f>
        <v/>
      </c>
      <c r="F9" s="5">
        <f>IF(OR(SUM(O81:O84)=0,SUM(O81:O84)=""),"-",SUM(O81:O84))</f>
        <v/>
      </c>
      <c r="G9" s="5">
        <f>IF(OR(SUM(N81:N84)=0,SUM(N81:N84)=""),"-",SUM(N81:N84))</f>
        <v/>
      </c>
    </row>
    <row r="10">
      <c r="B10" s="3" t="inlineStr">
        <is>
          <t>Converters</t>
        </is>
      </c>
      <c r="C10" s="4">
        <f>IF(MAX(H77:H80)=0,"-",MAX(H77:H80))</f>
        <v/>
      </c>
      <c r="D10" s="5">
        <f>IF(MIN(J77:J80)=0,"-",MIN(J77:J80))&amp;IF(OR(MAX(J77:J80)=0,IF(MIN(J77:J80)=0,"",MIN(J77:J80))=MAX(J77:J80)),""," - "&amp;MAX(J77:J80))</f>
        <v/>
      </c>
      <c r="E10" s="4">
        <f>IF(MIN(M77:M80)=0,"-",MIN(M77:M80))&amp;IF(OR(MAX(M77:M80)=0,IF(MIN(M77:M80)=0,"",MIN(M77:M80))=MAX(M77:M80)),""," - "&amp;MAX(M77:M80))</f>
        <v/>
      </c>
      <c r="F10" s="5">
        <f>IF(OR(SUM(O77:O80)=0,SUM(O77:O80)=""),"-",SUM(O77:O80))</f>
        <v/>
      </c>
      <c r="G10" s="5">
        <f>IF(OR(SUM(N77:N80)=0,SUM(N77:N80)=""),"-",SUM(N77:N80))</f>
        <v/>
      </c>
    </row>
    <row r="11">
      <c r="B11" s="3" t="inlineStr">
        <is>
          <t>Offshore Platforms</t>
        </is>
      </c>
      <c r="C11" s="4">
        <f>IF(MAX(H85:H88)=0,"-",MAX(H85:H88))</f>
        <v/>
      </c>
      <c r="D11" s="5">
        <f>IF(MIN(J85:J88)=0,"-",MIN(J85:J88))&amp;IF(OR(MAX(J85:J88)=0,IF(MIN(J85:J88)=0,"",MIN(J85:J88))=MAX(J85:J88)),""," - "&amp;MAX(J85:J88))</f>
        <v/>
      </c>
      <c r="E11" s="4">
        <f>IF(MIN(M85:M88)=0,"-",MIN(M85:M88))&amp;IF(OR(MAX(M85:M88)=0,IF(MIN(M85:M88)=0,"",MIN(M85:M88))=MAX(M85:M88)),""," - "&amp;MAX(M85:M88))</f>
        <v/>
      </c>
      <c r="F11" s="5">
        <f>IF(OR(SUM(O85:O88)=0,SUM(O85:O88)=""),"-",SUM(O85:O88))</f>
        <v/>
      </c>
      <c r="G11" s="5">
        <f>IF(OR(SUM(N85:N88)=0,SUM(N85:N88)=""),"-",SUM(N85:N88))</f>
        <v/>
      </c>
    </row>
    <row r="12" ht="16" customHeight="1">
      <c r="B12" s="3" t="inlineStr">
        <is>
          <t>Overall Development Costs</t>
        </is>
      </c>
      <c r="C12" s="4">
        <f>IF(MAX(H89)=0,"-",MAX(H89))</f>
        <v/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5">
        <f>IF(OR(N89=0,N89=""),"-",N89)</f>
        <v/>
      </c>
    </row>
    <row r="13" ht="16" customHeight="1">
      <c r="B13" s="3" t="inlineStr">
        <is>
          <t>Project Total</t>
        </is>
      </c>
      <c r="C13" s="4">
        <f>IF(OR(MAX(H57:H89)=0,MAX(H57:H89)=""),"-",MAX(H57:H89))</f>
        <v/>
      </c>
      <c r="D13" s="4">
        <f>IF(OR(MAX(J57:J88)=0,MAX(J57:J88)=""),"-",MAX(J57:J88))</f>
        <v/>
      </c>
      <c r="E13" s="7" t="inlineStr">
        <is>
          <t>-</t>
        </is>
      </c>
      <c r="F13" s="7" t="inlineStr">
        <is>
          <t>-</t>
        </is>
      </c>
      <c r="G13" s="4">
        <f>IF(OR(SUM(G3,G8:G12)=0,SUM(G3,G8:G12)=""),"-",SUM(G3,G8:G12))</f>
        <v/>
      </c>
    </row>
    <row r="15" ht="16" customHeight="1">
      <c r="B15" s="8" t="inlineStr">
        <is>
          <t>Table B: Total project cost breakdown (2021/22 prices)</t>
        </is>
      </c>
    </row>
    <row r="16">
      <c r="B16" s="9" t="inlineStr">
        <is>
          <t>Cost Type</t>
        </is>
      </c>
      <c r="C16" s="10" t="inlineStr">
        <is>
          <t>£m</t>
        </is>
      </c>
    </row>
    <row r="17">
      <c r="B17" s="3" t="inlineStr">
        <is>
          <t>Opex</t>
        </is>
      </c>
      <c r="C17" s="11">
        <f>IF(OR(SUM(J129:J160)=0,SUM(J129:J160)=""),"-",SUM(J129:J160))</f>
        <v/>
      </c>
    </row>
    <row r="18">
      <c r="B18" s="3" t="inlineStr">
        <is>
          <t>Overall Non-Asset related Opex</t>
        </is>
      </c>
      <c r="C18" s="11">
        <f>IF(OR(SUM(J161:J164)=0,SUM(J161:J164)=""),"-",SUM(J161:J164))</f>
        <v/>
      </c>
    </row>
    <row r="19">
      <c r="B19" s="3" t="inlineStr">
        <is>
          <t>Capex</t>
        </is>
      </c>
      <c r="C19" s="11">
        <f>IF(OR(SUM(G3,G8:G11)=0,SUM(G3,G8:G11)=""),"-",SUM(G3,G8:G11))</f>
        <v/>
      </c>
    </row>
    <row r="20">
      <c r="B20" s="3" t="inlineStr">
        <is>
          <t>Overall Development costs</t>
        </is>
      </c>
      <c r="C20" s="11">
        <f>IF(OR(G12=0,G12=""),"-",G12)</f>
        <v/>
      </c>
    </row>
    <row r="21">
      <c r="B21" s="3" t="inlineStr">
        <is>
          <t>Total Project cost</t>
        </is>
      </c>
      <c r="C21" s="11">
        <f>IF(OR(SUM(C17:C20)=0,SUM(C17:C20)=""),"-",SUM(C17:C20))</f>
        <v/>
      </c>
    </row>
    <row r="22" ht="16" customHeight="1">
      <c r="B22" s="3" t="inlineStr">
        <is>
          <t>Check</t>
        </is>
      </c>
      <c r="C22" s="12">
        <f>C21=Q53</f>
        <v/>
      </c>
    </row>
    <row r="24" ht="16" customHeight="1">
      <c r="B24" s="8" t="inlineStr">
        <is>
          <t>Table 1: Total project spend at IPA stage (2021/22 prices)</t>
        </is>
      </c>
    </row>
    <row r="25">
      <c r="B25" s="9" t="inlineStr">
        <is>
          <t>Cost Type</t>
        </is>
      </c>
      <c r="C25" s="10" t="inlineStr">
        <is>
          <t>£m</t>
        </is>
      </c>
    </row>
    <row r="26">
      <c r="B26" s="3" t="inlineStr">
        <is>
          <t>Opex</t>
        </is>
      </c>
      <c r="C26" s="13" t="n"/>
    </row>
    <row r="27">
      <c r="B27" s="3" t="inlineStr">
        <is>
          <t>Overall Non-Asset related Opex</t>
        </is>
      </c>
      <c r="C27" s="13" t="n"/>
    </row>
    <row r="28">
      <c r="B28" s="3" t="inlineStr">
        <is>
          <t>Capex</t>
        </is>
      </c>
      <c r="C28" s="13" t="n"/>
    </row>
    <row r="29" ht="16" customHeight="1">
      <c r="B29" s="3" t="inlineStr">
        <is>
          <t>Overall Development costs</t>
        </is>
      </c>
      <c r="C29" s="13" t="n"/>
    </row>
    <row r="30">
      <c r="B30" s="3" t="inlineStr">
        <is>
          <t>Total spend to date</t>
        </is>
      </c>
      <c r="C30" s="14">
        <f>SUM(C26:C29)</f>
        <v/>
      </c>
    </row>
    <row r="31">
      <c r="B31" s="8" t="n"/>
    </row>
    <row r="32" ht="16" customHeight="1">
      <c r="B32" s="8" t="inlineStr">
        <is>
          <t>Table 2: Total project spend expected at FPA stage (2021/22 prices)</t>
        </is>
      </c>
    </row>
    <row r="33">
      <c r="B33" s="9" t="inlineStr">
        <is>
          <t>Cost Type</t>
        </is>
      </c>
      <c r="C33" s="10" t="inlineStr">
        <is>
          <t>£m</t>
        </is>
      </c>
    </row>
    <row r="34">
      <c r="B34" s="3" t="inlineStr">
        <is>
          <t>Opex</t>
        </is>
      </c>
      <c r="C34" s="13" t="n"/>
    </row>
    <row r="35">
      <c r="B35" s="3" t="inlineStr">
        <is>
          <t>Overall Non-Asset related Opex</t>
        </is>
      </c>
      <c r="C35" s="13" t="n"/>
    </row>
    <row r="36">
      <c r="B36" s="3" t="inlineStr">
        <is>
          <t>Capex</t>
        </is>
      </c>
      <c r="C36" s="13" t="n"/>
    </row>
    <row r="37" ht="16" customHeight="1">
      <c r="B37" s="3" t="inlineStr">
        <is>
          <t>Overall Development costs</t>
        </is>
      </c>
      <c r="C37" s="13" t="n"/>
    </row>
    <row r="38">
      <c r="B38" s="3" t="inlineStr">
        <is>
          <t>Total spend to date</t>
        </is>
      </c>
      <c r="C38" s="14">
        <f>SUM(C34:C37)</f>
        <v/>
      </c>
    </row>
    <row r="39">
      <c r="B39" s="8" t="n"/>
    </row>
    <row r="40" ht="16" customHeight="1"/>
    <row r="41" ht="54.75" customHeight="1">
      <c r="B41" s="2" t="inlineStr">
        <is>
          <t>Table C: Project spend profile (2021/22 prices and financial years)</t>
        </is>
      </c>
      <c r="C41" s="2" t="inlineStr">
        <is>
          <t>Overall Operational Cost</t>
        </is>
      </c>
      <c r="D41" s="2" t="inlineStr">
        <is>
          <t>Decommissioning</t>
        </is>
      </c>
      <c r="E41" s="2" t="inlineStr">
        <is>
          <t>Mid-life replacement</t>
        </is>
      </c>
      <c r="F41" s="2" t="inlineStr">
        <is>
          <t>2021/22</t>
        </is>
      </c>
      <c r="G41" s="2" t="inlineStr">
        <is>
          <t>2022/23</t>
        </is>
      </c>
      <c r="H41" s="2" t="inlineStr">
        <is>
          <t>2023/24</t>
        </is>
      </c>
      <c r="I41" s="2" t="inlineStr">
        <is>
          <t>2024/25</t>
        </is>
      </c>
      <c r="J41" s="2" t="inlineStr">
        <is>
          <t>2025/26</t>
        </is>
      </c>
      <c r="K41" s="2" t="inlineStr">
        <is>
          <t>2026/27</t>
        </is>
      </c>
      <c r="L41" s="2" t="inlineStr">
        <is>
          <t>2027/28</t>
        </is>
      </c>
      <c r="M41" s="2" t="inlineStr">
        <is>
          <t>2028/29</t>
        </is>
      </c>
      <c r="N41" s="2" t="inlineStr">
        <is>
          <t>2029/30</t>
        </is>
      </c>
      <c r="O41" s="2" t="inlineStr">
        <is>
          <t>2030/31</t>
        </is>
      </c>
      <c r="P41" s="2" t="inlineStr">
        <is>
          <t>2031/32</t>
        </is>
      </c>
      <c r="Q41" s="2" t="inlineStr">
        <is>
          <t>Total</t>
        </is>
      </c>
    </row>
    <row r="42">
      <c r="B42" s="3" t="inlineStr">
        <is>
          <t>Cable Total</t>
        </is>
      </c>
      <c r="C42" s="13">
        <f>IF(OR(SUM(C43:C46)=0,SUM(C43:C46)=""),"-",SUM(C43:C46))</f>
        <v/>
      </c>
      <c r="D42" s="13">
        <f>IF(OR(SUM(D43:D46)=0,SUM(D43:D46)=""),"-",SUM(D43:D46))</f>
        <v/>
      </c>
      <c r="E42" s="13">
        <f>IF(OR(SUM(E43:E46)=0,SUM(E43:E46)=""),"-",SUM(E43:E46))</f>
        <v/>
      </c>
      <c r="F42" s="13">
        <f>IF(OR(SUM(F43:F46)=0,SUM(F43:F46)=""),"-",SUM(F43:F46))</f>
        <v/>
      </c>
      <c r="G42" s="13">
        <f>IF(OR(SUM(G43:G46)=0,SUM(G43:G46)=""),"-",SUM(G43:G46))</f>
        <v/>
      </c>
      <c r="H42" s="13">
        <f>IF(OR(SUM(H43:H46)=0,SUM(H43:H46)=""),"-",SUM(H43:H46))</f>
        <v/>
      </c>
      <c r="I42" s="13">
        <f>IF(OR(SUM(I43:I46)=0,SUM(I43:I46)=""),"-",SUM(I43:I46))</f>
        <v/>
      </c>
      <c r="J42" s="13">
        <f>IF(OR(SUM(J43:J46)=0,SUM(J43:J46)=""),"-",SUM(J43:J46))</f>
        <v/>
      </c>
      <c r="K42" s="13">
        <f>IF(OR(SUM(K43:K46)=0,SUM(K43:K46)=""),"-",SUM(K43:K46))</f>
        <v/>
      </c>
      <c r="L42" s="13">
        <f>IF(OR(SUM(L43:L46)=0,SUM(L43:L46)=""),"-",SUM(L43:L46))</f>
        <v/>
      </c>
      <c r="M42" s="13">
        <f>IF(OR(SUM(M43:M46)=0,SUM(M43:M46)=""),"-",SUM(M43:M46))</f>
        <v/>
      </c>
      <c r="N42" s="13">
        <f>IF(OR(SUM(N43:N46)=0,SUM(N43:N46)=""),"-",SUM(N43:N46))</f>
        <v/>
      </c>
      <c r="O42" s="13">
        <f>IF(OR(SUM(O43:O46)=0,SUM(O43:O46)=""),"-",SUM(O43:O46))</f>
        <v/>
      </c>
      <c r="P42" s="13">
        <f>IF(OR(SUM(P43:P46)=0,SUM(P43:P46)=""),"-",SUM(P43:P46))</f>
        <v/>
      </c>
      <c r="Q42" s="15" t="n"/>
    </row>
    <row r="43">
      <c r="B43" s="6" t="inlineStr">
        <is>
          <t>Subsea Cable</t>
        </is>
      </c>
      <c r="C43" s="13">
        <f>IF(OR(SUM(I129:I132)=0,SUM(I129:I132)=""),"-",SUM(I129:I132))</f>
        <v/>
      </c>
      <c r="D43" s="13">
        <f>IF(OR(SUM(E129:E132)=0,SUM(E129:E132)=""),"-",SUM(E129:E132))</f>
        <v/>
      </c>
      <c r="E43" s="13">
        <f>IF(OR(SUM(F129:F132)=0,SUM(F129:F132)=""),"-",SUM(F129:F132))</f>
        <v/>
      </c>
      <c r="F43" s="13">
        <f>IF(OR(SUM(D93:D96)=0,SUM(D93:D96)=""),"-",SUM(D93:D96))</f>
        <v/>
      </c>
      <c r="G43" s="13">
        <f>IF(OR(SUM(E93:E96)=0,SUM(E93:E96)=""),"-",SUM(E93:E96))</f>
        <v/>
      </c>
      <c r="H43" s="13">
        <f>IF(OR(SUM(F93:F96)=0,SUM(F93:F96)=""),"-",SUM(F93:F96))</f>
        <v/>
      </c>
      <c r="I43" s="13">
        <f>IF(OR(SUM(G93:G96)=0,SUM(G93:G96)=""),"-",SUM(G93:G96))</f>
        <v/>
      </c>
      <c r="J43" s="13">
        <f>IF(OR(SUM(H93:H96)=0,SUM(H93:H96)=""),"-",SUM(H93:H96))</f>
        <v/>
      </c>
      <c r="K43" s="13">
        <f>IF(OR(SUM(I93:I96)=0,SUM(I93:I96)=""),"-",SUM(I93:I96))</f>
        <v/>
      </c>
      <c r="L43" s="13">
        <f>IF(OR(SUM(J93:J96)=0,SUM(J93:J96)=""),"-",SUM(J93:J96))</f>
        <v/>
      </c>
      <c r="M43" s="13">
        <f>IF(OR(SUM(K93:K96)=0,SUM(K93:K96)=""),"-",SUM(K93:K96))</f>
        <v/>
      </c>
      <c r="N43" s="13">
        <f>IF(OR(SUM(L93:L96)=0,SUM(L93:L96)=""),"-",SUM(L93:L96))</f>
        <v/>
      </c>
      <c r="O43" s="13">
        <f>IF(OR(SUM(M93:M96)=0,SUM(M93:M96)=""),"-",SUM(M93:M96))</f>
        <v/>
      </c>
      <c r="P43" s="13">
        <f>IF(OR(SUM(N93:N96)=0,SUM(N93:N96)=""),"-",SUM(N93:N96))</f>
        <v/>
      </c>
      <c r="Q43" s="15">
        <f>IF(OR(SUM(C43:P43)=0,SUM(C43:P43)=""),"-",SUM(C43:P43))</f>
        <v/>
      </c>
    </row>
    <row r="44">
      <c r="B44" s="6" t="inlineStr">
        <is>
          <t>Underground Cable</t>
        </is>
      </c>
      <c r="C44" s="13">
        <f>IF(OR(SUM(I133:I136)=0,SUM(I133:I136)=""),"-",SUM(I133:I136))</f>
        <v/>
      </c>
      <c r="D44" s="13">
        <f>IF(OR(SUM(E133:E136)=0,SUM(E133:E136)=""),"-",SUM(E133:E136))</f>
        <v/>
      </c>
      <c r="E44" s="13">
        <f>IF(OR(SUM(F133:F136)=0,SUM(F133:F136)=""),"-",SUM(F133:F136))</f>
        <v/>
      </c>
      <c r="F44" s="13">
        <f>IF(OR(SUM(D97:D100)=0,SUM(D97:D100)=""),"-",SUM(D97:D100))</f>
        <v/>
      </c>
      <c r="G44" s="13">
        <f>IF(OR(SUM(E97:E100)=0,SUM(E97:E100)=""),"-",SUM(E97:E100))</f>
        <v/>
      </c>
      <c r="H44" s="13">
        <f>IF(OR(SUM(F97:F100)=0,SUM(F97:F100)=""),"-",SUM(F97:F100))</f>
        <v/>
      </c>
      <c r="I44" s="13">
        <f>IF(OR(SUM(G97:G100)=0,SUM(G97:G100)=""),"-",SUM(G97:G100))</f>
        <v/>
      </c>
      <c r="J44" s="13">
        <f>IF(OR(SUM(H97:H100)=0,SUM(H97:H100)=""),"-",SUM(H97:H100))</f>
        <v/>
      </c>
      <c r="K44" s="13">
        <f>IF(OR(SUM(I97:I100)=0,SUM(I97:I100)=""),"-",SUM(I97:I100))</f>
        <v/>
      </c>
      <c r="L44" s="13">
        <f>IF(OR(SUM(J97:J100)=0,SUM(J97:J100)=""),"-",SUM(J97:J100))</f>
        <v/>
      </c>
      <c r="M44" s="13">
        <f>IF(OR(SUM(K97:K100)=0,SUM(K97:K100)=""),"-",SUM(K97:K100))</f>
        <v/>
      </c>
      <c r="N44" s="13">
        <f>IF(OR(SUM(L97:L100)=0,SUM(L97:L100)=""),"-",SUM(L97:L100))</f>
        <v/>
      </c>
      <c r="O44" s="13">
        <f>IF(OR(SUM(M97:M100)=0,SUM(M97:M100)=""),"-",SUM(M97:M100))</f>
        <v/>
      </c>
      <c r="P44" s="13">
        <f>IF(OR(SUM(N97:N100)=0,SUM(N97:N100)=""),"-",SUM(N97:N100))</f>
        <v/>
      </c>
      <c r="Q44" s="15">
        <f>IF(OR(SUM(C44:P44)=0,SUM(C44:P44)=""),"-",SUM(C44:P44))</f>
        <v/>
      </c>
    </row>
    <row r="45">
      <c r="B45" s="6" t="inlineStr">
        <is>
          <t>Overhead line</t>
        </is>
      </c>
      <c r="C45" s="13">
        <f>IF(OR(SUM(I141:I144)=0,SUM(I141:I144)=""),"-",SUM(I141:I144))</f>
        <v/>
      </c>
      <c r="D45" s="13">
        <f>IF(OR(SUM(E141:E144)=0,SUM(E141:E144)=""),"-",SUM(E141:E144))</f>
        <v/>
      </c>
      <c r="E45" s="13">
        <f>IF(OR(SUM(F141:F144)=0,SUM(F141:F144)=""),"-",SUM(F141:F144))</f>
        <v/>
      </c>
      <c r="F45" s="13">
        <f>IF(OR(SUM(D105:D108)=0,SUM(D105:D108)=""),"-",SUM(D105:D108))</f>
        <v/>
      </c>
      <c r="G45" s="13">
        <f>IF(OR(SUM(E105:E108)=0,SUM(E105:E108)=""),"-",SUM(E105:E108))</f>
        <v/>
      </c>
      <c r="H45" s="13">
        <f>IF(OR(SUM(F105:F108)=0,SUM(F105:F108)=""),"-",SUM(F105:F108))</f>
        <v/>
      </c>
      <c r="I45" s="13">
        <f>IF(OR(SUM(G105:G108)=0,SUM(G105:G108)=""),"-",SUM(G105:G108))</f>
        <v/>
      </c>
      <c r="J45" s="13">
        <f>IF(OR(SUM(H105:H108)=0,SUM(H105:H108)=""),"-",SUM(H105:H108))</f>
        <v/>
      </c>
      <c r="K45" s="13">
        <f>IF(OR(SUM(I105:I108)=0,SUM(I105:I108)=""),"-",SUM(I105:I108))</f>
        <v/>
      </c>
      <c r="L45" s="13">
        <f>IF(OR(SUM(J105:J108)=0,SUM(J105:J108)=""),"-",SUM(J105:J108))</f>
        <v/>
      </c>
      <c r="M45" s="13">
        <f>IF(OR(SUM(K105:K108)=0,SUM(K105:K108)=""),"-",SUM(K105:K108))</f>
        <v/>
      </c>
      <c r="N45" s="13">
        <f>IF(OR(SUM(L105:L108)=0,SUM(L105:L108)=""),"-",SUM(L105:L108))</f>
        <v/>
      </c>
      <c r="O45" s="13">
        <f>IF(OR(SUM(M105:M108)=0,SUM(M105:M108)=""),"-",SUM(M105:M108))</f>
        <v/>
      </c>
      <c r="P45" s="13">
        <f>IF(OR(SUM(N105:N108)=0,SUM(N105:N108)=""),"-",SUM(N105:N108))</f>
        <v/>
      </c>
      <c r="Q45" s="15">
        <f>IF(OR(SUM(C45:P45)=0,SUM(C45:P45)=""),"-",SUM(C45:P45))</f>
        <v/>
      </c>
    </row>
    <row r="46">
      <c r="B46" s="6" t="inlineStr">
        <is>
          <t>AC gas insulated line</t>
        </is>
      </c>
      <c r="C46" s="13">
        <f>IF(OR(SUM(I145:I148)=0,SUM(I145:I148)=""),"-",SUM(I145:I148))</f>
        <v/>
      </c>
      <c r="D46" s="13">
        <f>IF(OR(SUM(E145:E148)=0,SUM(E145:E148)=""),"-",SUM(E145:E148))</f>
        <v/>
      </c>
      <c r="E46" s="13">
        <f>IF(OR(SUM(F145:F148)=0,SUM(F145:F148)=""),"-",SUM(F145:F148))</f>
        <v/>
      </c>
      <c r="F46" s="13">
        <f>IF(OR(SUM(D109:D112)=0,SUM(D109:D112)=""),"-",SUM(D109:D112))</f>
        <v/>
      </c>
      <c r="G46" s="13">
        <f>IF(OR(SUM(E109:E112)=0,SUM(E109:E112)=""),"-",SUM(E109:E112))</f>
        <v/>
      </c>
      <c r="H46" s="13">
        <f>IF(OR(SUM(F109:F112)=0,SUM(F109:F112)=""),"-",SUM(F109:F112))</f>
        <v/>
      </c>
      <c r="I46" s="13">
        <f>IF(OR(SUM(G109:G112)=0,SUM(G109:G112)=""),"-",SUM(G109:G112))</f>
        <v/>
      </c>
      <c r="J46" s="13">
        <f>IF(OR(SUM(H109:H112)=0,SUM(H109:H112)=""),"-",SUM(H109:H112))</f>
        <v/>
      </c>
      <c r="K46" s="13">
        <f>IF(OR(SUM(I109:I112)=0,SUM(I109:I112)=""),"-",SUM(I109:I112))</f>
        <v/>
      </c>
      <c r="L46" s="13">
        <f>IF(OR(SUM(J109:J112)=0,SUM(J109:J112)=""),"-",SUM(J109:J112))</f>
        <v/>
      </c>
      <c r="M46" s="13">
        <f>IF(OR(SUM(K109:K112)=0,SUM(K109:K112)=""),"-",SUM(K109:K112))</f>
        <v/>
      </c>
      <c r="N46" s="13">
        <f>IF(OR(SUM(L109:L112)=0,SUM(L109:L112)=""),"-",SUM(L109:L112))</f>
        <v/>
      </c>
      <c r="O46" s="13">
        <f>IF(OR(SUM(M109:M112)=0,SUM(M109:M112)=""),"-",SUM(M109:M112))</f>
        <v/>
      </c>
      <c r="P46" s="13">
        <f>IF(OR(SUM(N109:N112)=0,SUM(N109:N112)=""),"-",SUM(N109:N112))</f>
        <v/>
      </c>
      <c r="Q46" s="15">
        <f>IF(OR(SUM(C46:P46)=0,SUM(C46:P46)=""),"-",SUM(C46:P46))</f>
        <v/>
      </c>
    </row>
    <row r="47">
      <c r="B47" s="3" t="inlineStr">
        <is>
          <t>Tunnel</t>
        </is>
      </c>
      <c r="C47" s="13">
        <f>IF(OR(SUM(I137:I140)=0,SUM(I137:I140)=""),"-",SUM(I137:I140))</f>
        <v/>
      </c>
      <c r="D47" s="13">
        <f>IF(OR(SUM(E137:E140)=0,SUM(E137:E140)=""),"-",SUM(E137:E140))</f>
        <v/>
      </c>
      <c r="E47" s="13">
        <f>IF(OR(SUM(F137:F140)=0,SUM(F137:F140)=""),"-",SUM(F137:F140))</f>
        <v/>
      </c>
      <c r="F47" s="13">
        <f>IF(OR(SUM(D101:D104)=0,SUM(D101:D104)=""),"-",SUM(D101:D104))</f>
        <v/>
      </c>
      <c r="G47" s="13">
        <f>IF(OR(SUM(E101:E104)=0,SUM(E101:E104)=""),"-",SUM(E101:E104))</f>
        <v/>
      </c>
      <c r="H47" s="13">
        <f>IF(OR(SUM(F101:F104)=0,SUM(F101:F104)=""),"-",SUM(F101:F104))</f>
        <v/>
      </c>
      <c r="I47" s="13">
        <f>IF(OR(SUM(G101:G104)=0,SUM(G101:G104)=""),"-",SUM(G101:G104))</f>
        <v/>
      </c>
      <c r="J47" s="13">
        <f>IF(OR(SUM(H101:H104)=0,SUM(H101:H104)=""),"-",SUM(H101:H104))</f>
        <v/>
      </c>
      <c r="K47" s="13">
        <f>IF(OR(SUM(I101:I104)=0,SUM(I101:I104)=""),"-",SUM(I101:I104))</f>
        <v/>
      </c>
      <c r="L47" s="13">
        <f>IF(OR(SUM(J101:J104)=0,SUM(J101:J104)=""),"-",SUM(J101:J104))</f>
        <v/>
      </c>
      <c r="M47" s="13">
        <f>IF(OR(SUM(K101:K104)=0,SUM(K101:K104)=""),"-",SUM(K101:K104))</f>
        <v/>
      </c>
      <c r="N47" s="13">
        <f>IF(OR(SUM(L101:L104)=0,SUM(L101:L104)=""),"-",SUM(L101:L104))</f>
        <v/>
      </c>
      <c r="O47" s="13">
        <f>IF(OR(SUM(M101:M104)=0,SUM(M101:M104)=""),"-",SUM(M101:M104))</f>
        <v/>
      </c>
      <c r="P47" s="13">
        <f>IF(OR(SUM(N101:N104)=0,SUM(N101:N104)=""),"-",SUM(N101:N104))</f>
        <v/>
      </c>
      <c r="Q47" s="15">
        <f>IF(OR(SUM(C47:P47)=0,SUM(C47:P47)=""),"-",SUM(C47:P47))</f>
        <v/>
      </c>
    </row>
    <row r="48">
      <c r="B48" s="3" t="inlineStr">
        <is>
          <t>Substations</t>
        </is>
      </c>
      <c r="C48" s="13">
        <f>IF(OR(SUM(I153:I156)=0,SUM(I153:I156)=""),"-",SUM(I153:I156))</f>
        <v/>
      </c>
      <c r="D48" s="13">
        <f>IF(OR(SUM(E153:E156)=0,SUM(E153:E156)=""),"-",SUM(E153:E156))</f>
        <v/>
      </c>
      <c r="E48" s="13">
        <f>IF(OR(SUM(F153:F156)=0,SUM(F153:F156)=""),"-",SUM(F153:F156))</f>
        <v/>
      </c>
      <c r="F48" s="13">
        <f>IF(OR(SUM(D117:D120)=0,SUM(D117:D120)=""),"-",SUM(D117:D120))</f>
        <v/>
      </c>
      <c r="G48" s="13">
        <f>IF(OR(SUM(E117:E120)=0,SUM(E117:E120)=""),"-",SUM(E117:E120))</f>
        <v/>
      </c>
      <c r="H48" s="13">
        <f>IF(OR(SUM(F117:F120)=0,SUM(F117:F120)=""),"-",SUM(F117:F120))</f>
        <v/>
      </c>
      <c r="I48" s="13">
        <f>IF(OR(SUM(G117:G120)=0,SUM(G117:G120)=""),"-",SUM(G117:G120))</f>
        <v/>
      </c>
      <c r="J48" s="13">
        <f>IF(OR(SUM(H117:H120)=0,SUM(H117:H120)=""),"-",SUM(H117:H120))</f>
        <v/>
      </c>
      <c r="K48" s="13">
        <f>IF(OR(SUM(I117:I120)=0,SUM(I117:I120)=""),"-",SUM(I117:I120))</f>
        <v/>
      </c>
      <c r="L48" s="13">
        <f>IF(OR(SUM(J117:J120)=0,SUM(J117:J120)=""),"-",SUM(J117:J120))</f>
        <v/>
      </c>
      <c r="M48" s="13">
        <f>IF(OR(SUM(K117:K120)=0,SUM(K117:K120)=""),"-",SUM(K117:K120))</f>
        <v/>
      </c>
      <c r="N48" s="13">
        <f>IF(OR(SUM(L117:L120)=0,SUM(L117:L120)=""),"-",SUM(L117:L120))</f>
        <v/>
      </c>
      <c r="O48" s="13">
        <f>IF(OR(SUM(M117:M120)=0,SUM(M117:M120)=""),"-",SUM(M117:M120))</f>
        <v/>
      </c>
      <c r="P48" s="13">
        <f>IF(OR(SUM(N117:N120)=0,SUM(N117:N120)=""),"-",SUM(N117:N120))</f>
        <v/>
      </c>
      <c r="Q48" s="15">
        <f>IF(OR(SUM(C48:P48)=0,SUM(C48:P48)=""),"-",SUM(C48:P48))</f>
        <v/>
      </c>
    </row>
    <row r="49">
      <c r="B49" s="3" t="inlineStr">
        <is>
          <t>Converters</t>
        </is>
      </c>
      <c r="C49" s="13">
        <f>IF(OR(SUM(I149:I152)=0,SUM(I149:I152)=""),"-",SUM(I149:I152))</f>
        <v/>
      </c>
      <c r="D49" s="13">
        <f>IF(OR(SUM(E149:E152)=0,SUM(E149:E152)=""),"-",SUM(E149:E152))</f>
        <v/>
      </c>
      <c r="E49" s="13">
        <f>IF(OR(SUM(F149:F152)=0,SUM(F149:F152)=""),"-",SUM(F149:F152))</f>
        <v/>
      </c>
      <c r="F49" s="13">
        <f>IF(OR(SUM(D113:D116)=0,SUM(D113:D116)=""),"-",SUM(D113:D116))</f>
        <v/>
      </c>
      <c r="G49" s="13">
        <f>IF(OR(SUM(E113:E116)=0,SUM(E113:E116)=""),"-",SUM(E113:E116))</f>
        <v/>
      </c>
      <c r="H49" s="13">
        <f>IF(OR(SUM(F113:F116)=0,SUM(F113:F116)=""),"-",SUM(F113:F116))</f>
        <v/>
      </c>
      <c r="I49" s="13">
        <f>IF(OR(SUM(G113:G116)=0,SUM(G113:G116)=""),"-",SUM(G113:G116))</f>
        <v/>
      </c>
      <c r="J49" s="13">
        <f>IF(OR(SUM(H113:H116)=0,SUM(H113:H116)=""),"-",SUM(H113:H116))</f>
        <v/>
      </c>
      <c r="K49" s="13">
        <f>IF(OR(SUM(I113:I116)=0,SUM(I113:I116)=""),"-",SUM(I113:I116))</f>
        <v/>
      </c>
      <c r="L49" s="13">
        <f>IF(OR(SUM(J113:J116)=0,SUM(J113:J116)=""),"-",SUM(J113:J116))</f>
        <v/>
      </c>
      <c r="M49" s="13">
        <f>IF(OR(SUM(K113:K116)=0,SUM(K113:K116)=""),"-",SUM(K113:K116))</f>
        <v/>
      </c>
      <c r="N49" s="13">
        <f>IF(OR(SUM(L113:L116)=0,SUM(L113:L116)=""),"-",SUM(L113:L116))</f>
        <v/>
      </c>
      <c r="O49" s="13">
        <f>IF(OR(SUM(M113:M116)=0,SUM(M113:M116)=""),"-",SUM(M113:M116))</f>
        <v/>
      </c>
      <c r="P49" s="13">
        <f>IF(OR(SUM(N113:N116)=0,SUM(N113:N116)=""),"-",SUM(N113:N116))</f>
        <v/>
      </c>
      <c r="Q49" s="15">
        <f>IF(OR(SUM(C49:P49)=0,SUM(C49:P49)=""),"-",SUM(C49:P49))</f>
        <v/>
      </c>
    </row>
    <row r="50">
      <c r="B50" s="3" t="inlineStr">
        <is>
          <t>Offshore Platforms</t>
        </is>
      </c>
      <c r="C50" s="13">
        <f>IF(OR(SUM(I157:I160)=0,SUM(I157:I160)=""),"-",SUM(I157:I160))</f>
        <v/>
      </c>
      <c r="D50" s="13">
        <f>IF(OR(SUM(E157:E160)=0,SUM(E157:E160)=""),"-",SUM(E157:E160))</f>
        <v/>
      </c>
      <c r="E50" s="13">
        <f>IF(OR(SUM(F157:F160)=0,SUM(F157:F160)=""),"-",SUM(F157:F160))</f>
        <v/>
      </c>
      <c r="F50" s="13">
        <f>IF(OR(SUM(D121:D124)=0,SUM(D121:D124)=""),"-",SUM(D121:D124))</f>
        <v/>
      </c>
      <c r="G50" s="13">
        <f>IF(OR(SUM(E121:E124)=0,SUM(E121:E124)=""),"-",SUM(E121:E124))</f>
        <v/>
      </c>
      <c r="H50" s="13">
        <f>IF(OR(SUM(F121:F124)=0,SUM(F121:F124)=""),"-",SUM(F121:F124))</f>
        <v/>
      </c>
      <c r="I50" s="13">
        <f>IF(OR(SUM(G121:G124)=0,SUM(G121:G124)=""),"-",SUM(G121:G124))</f>
        <v/>
      </c>
      <c r="J50" s="13">
        <f>IF(OR(SUM(H121:H124)=0,SUM(H121:H124)=""),"-",SUM(H121:H124))</f>
        <v/>
      </c>
      <c r="K50" s="13">
        <f>IF(OR(SUM(I121:I124)=0,SUM(I121:I124)=""),"-",SUM(I121:I124))</f>
        <v/>
      </c>
      <c r="L50" s="13">
        <f>IF(OR(SUM(J121:J124)=0,SUM(J121:J124)=""),"-",SUM(J121:J124))</f>
        <v/>
      </c>
      <c r="M50" s="13">
        <f>IF(OR(SUM(K121:K124)=0,SUM(K121:K124)=""),"-",SUM(K121:K124))</f>
        <v/>
      </c>
      <c r="N50" s="13">
        <f>IF(OR(SUM(L121:L124)=0,SUM(L121:L124)=""),"-",SUM(L121:L124))</f>
        <v/>
      </c>
      <c r="O50" s="13">
        <f>IF(OR(SUM(M121:M124)=0,SUM(M121:M124)=""),"-",SUM(M121:M124))</f>
        <v/>
      </c>
      <c r="P50" s="13">
        <f>IF(OR(SUM(N121:N124)=0,SUM(N121:N124)=""),"-",SUM(N121:N124))</f>
        <v/>
      </c>
      <c r="Q50" s="15">
        <f>IF(OR(SUM(C50:P50)=0,SUM(C50:P50)=""),"-",SUM(C50:P50))</f>
        <v/>
      </c>
    </row>
    <row r="51">
      <c r="B51" s="3" t="inlineStr">
        <is>
          <t>Overall Development Costs</t>
        </is>
      </c>
      <c r="C51" s="16" t="n"/>
      <c r="D51" s="16" t="n"/>
      <c r="E51" s="16" t="n"/>
      <c r="F51" s="11">
        <f>IF(OR(SUM(D125)=0,SUM(D125)=""),"-",SUM(D125))</f>
        <v/>
      </c>
      <c r="G51" s="11">
        <f>IF(OR(SUM(E125)=0,SUM(E125)=""),"-",SUM(E125))</f>
        <v/>
      </c>
      <c r="H51" s="11">
        <f>IF(OR(SUM(F125)=0,SUM(F125)=""),"-",SUM(F125))</f>
        <v/>
      </c>
      <c r="I51" s="11">
        <f>IF(OR(SUM(G125)=0,SUM(G125)=""),"-",SUM(G125))</f>
        <v/>
      </c>
      <c r="J51" s="11">
        <f>IF(OR(SUM(H125)=0,SUM(H125)=""),"-",SUM(H125))</f>
        <v/>
      </c>
      <c r="K51" s="11">
        <f>IF(OR(SUM(I125)=0,SUM(I125)=""),"-",SUM(I125))</f>
        <v/>
      </c>
      <c r="L51" s="11">
        <f>IF(OR(SUM(J125)=0,SUM(J125)=""),"-",SUM(J125))</f>
        <v/>
      </c>
      <c r="M51" s="11">
        <f>IF(OR(SUM(K125)=0,SUM(K125)=""),"-",SUM(K125))</f>
        <v/>
      </c>
      <c r="N51" s="11">
        <f>IF(OR(SUM(L125)=0,SUM(L125)=""),"-",SUM(L125))</f>
        <v/>
      </c>
      <c r="O51" s="11">
        <f>IF(OR(SUM(M125)=0,SUM(M125)=""),"-",SUM(M125))</f>
        <v/>
      </c>
      <c r="P51" s="11">
        <f>IF(OR(SUM(N125)=0,SUM(N125)=""),"-",SUM(N125))</f>
        <v/>
      </c>
      <c r="Q51" s="17">
        <f>IF(OR(SUM(C51:P51)=0,SUM(C51:P51)=""),"-",SUM(C51:P51))</f>
        <v/>
      </c>
    </row>
    <row r="52" ht="16" customHeight="1">
      <c r="B52" s="3" t="inlineStr">
        <is>
          <t>Overall Non-Asset related Opex</t>
        </is>
      </c>
      <c r="C52" s="11">
        <f>IF(OR(SUM(I161:I164)=0,SUM(I161:I164)=""),"-",SUM(I161:I164))</f>
        <v/>
      </c>
      <c r="D52" s="11">
        <f>IF(OR(SUM(E161:E164)=0,SUM(E161:E164)=""),"-",SUM(E161:E164))</f>
        <v/>
      </c>
      <c r="E52" s="11">
        <f>IF(OR(SUM(F161:F164)=0,SUM(F161:F164)=""),"-",SUM(F161:F164))</f>
        <v/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7">
        <f>IF(OR(SUM(C52:P52)=0,SUM(C52:P52)=""),"-",SUM(C52:P52))</f>
        <v/>
      </c>
    </row>
    <row r="53" ht="16" customHeight="1">
      <c r="B53" s="3" t="inlineStr">
        <is>
          <t>Project Total</t>
        </is>
      </c>
      <c r="C53" s="17">
        <f>IF(OR(SUM(C42,C47:C52)=0,SUM(C42,C47:C52)=""),"-",SUM(C42,C47:C52))</f>
        <v/>
      </c>
      <c r="D53" s="17">
        <f>IF(OR(SUM(D42,D47:D52)=0,SUM(D42,D47:D52)=""),"-",SUM(D42,D47:D52))</f>
        <v/>
      </c>
      <c r="E53" s="17">
        <f>IF(OR(SUM(E42,E47:E52)=0,SUM(E42,E47:E52)=""),"-",SUM(E42,E47:E52))</f>
        <v/>
      </c>
      <c r="F53" s="17">
        <f>IF(OR(SUM(F42,F47:F52)=0,SUM(F42,F47:F52)=""),"-",SUM(F42,F47:F52))</f>
        <v/>
      </c>
      <c r="G53" s="17">
        <f>IF(OR(SUM(G42,G47:G52)=0,SUM(G42,G47:G52)=""),"-",SUM(G42,G47:G52))</f>
        <v/>
      </c>
      <c r="H53" s="17">
        <f>IF(OR(SUM(H42,H47:H52)=0,SUM(H42,H47:H52)=""),"-",SUM(H42,H47:H52))</f>
        <v/>
      </c>
      <c r="I53" s="17">
        <f>IF(OR(SUM(I42,I47:I52)=0,SUM(I42,I47:I52)=""),"-",SUM(I42,I47:I52))</f>
        <v/>
      </c>
      <c r="J53" s="17">
        <f>IF(OR(SUM(J42,J47:J52)=0,SUM(J42,J47:J52)=""),"-",SUM(J42,J47:J52))</f>
        <v/>
      </c>
      <c r="K53" s="17">
        <f>IF(OR(SUM(K42,K47:K52)=0,SUM(K42,K47:K52)=""),"-",SUM(K42,K47:K52))</f>
        <v/>
      </c>
      <c r="L53" s="17">
        <f>IF(OR(SUM(L42,L47:L52)=0,SUM(L42,L47:L52)=""),"-",SUM(L42,L47:L52))</f>
        <v/>
      </c>
      <c r="M53" s="17">
        <f>IF(OR(SUM(M42,M47:M52)=0,SUM(M42,M47:M52)=""),"-",SUM(M42,M47:M52))</f>
        <v/>
      </c>
      <c r="N53" s="17">
        <f>IF(OR(SUM(N42,N47:N52)=0,SUM(N42,N47:N52)=""),"-",SUM(N42,N47:N52))</f>
        <v/>
      </c>
      <c r="O53" s="17">
        <f>IF(OR(SUM(O42,O47:O52)=0,SUM(O42,O47:O52)=""),"-",SUM(O42,O47:O52))</f>
        <v/>
      </c>
      <c r="P53" s="17">
        <f>IF(OR(SUM(P42,P47:P52)=0,SUM(P42,P47:P52)=""),"-",SUM(P42,P47:P52))</f>
        <v/>
      </c>
      <c r="Q53" s="17">
        <f>IF(OR(SUM(C53:P53)=0,SUM(C53:P53)=""),"-",SUM(C53:P53))</f>
        <v/>
      </c>
    </row>
    <row r="55" ht="16" customHeight="1">
      <c r="B55" s="8" t="inlineStr">
        <is>
          <t>Table 3: Project Capex costs (2021/22 prices)</t>
        </is>
      </c>
      <c r="D55" s="18" t="n"/>
    </row>
    <row r="56" ht="55.5" customHeight="1">
      <c r="B56" s="9" t="inlineStr">
        <is>
          <t>Asset Class</t>
        </is>
      </c>
      <c r="C56" s="9" t="inlineStr">
        <is>
          <t>Asset</t>
        </is>
      </c>
      <c r="D56" s="9" t="inlineStr">
        <is>
          <t>Asset type</t>
        </is>
      </c>
      <c r="E56" s="19" t="inlineStr">
        <is>
          <t>Project element</t>
        </is>
      </c>
      <c r="F56" s="19" t="inlineStr">
        <is>
          <t>Comment</t>
        </is>
      </c>
      <c r="G56" s="19" t="inlineStr">
        <is>
          <t>Construction start</t>
        </is>
      </c>
      <c r="H56" s="19" t="inlineStr">
        <is>
          <t>Construction completion</t>
        </is>
      </c>
      <c r="I56" s="19" t="inlineStr">
        <is>
          <t>Asset construction length</t>
        </is>
      </c>
      <c r="J56" s="19" t="inlineStr">
        <is>
          <t>Technical asset lifetime</t>
        </is>
      </c>
      <c r="K56" s="19" t="inlineStr">
        <is>
          <t>Contract type</t>
        </is>
      </c>
      <c r="L56" s="19" t="inlineStr">
        <is>
          <t>Voltage (kV)</t>
        </is>
      </c>
      <c r="M56" s="19" t="inlineStr">
        <is>
          <t>Rating (MVA/MW)</t>
        </is>
      </c>
      <c r="N56" s="19" t="inlineStr">
        <is>
          <t>Total Element cost GBP</t>
        </is>
      </c>
      <c r="O56" s="19" t="inlineStr">
        <is>
          <t>Quantity</t>
        </is>
      </c>
      <c r="P56" s="19" t="inlineStr">
        <is>
          <t>Unit</t>
        </is>
      </c>
      <c r="Q56" s="19" t="inlineStr">
        <is>
          <t>Cost per unit</t>
        </is>
      </c>
    </row>
    <row r="57">
      <c r="B57" s="3" t="inlineStr">
        <is>
          <t>Subsea cable 1</t>
        </is>
      </c>
      <c r="C57" s="13" t="n"/>
      <c r="D57" s="13" t="n"/>
      <c r="E57" s="13" t="n"/>
      <c r="F57" s="13" t="n"/>
      <c r="G57" s="13" t="n"/>
      <c r="H57" s="13" t="n"/>
      <c r="I57" s="14">
        <f>IF(OR((H57-G57)=0,SUM(H57-G57)=""),"-",SUM(H57-G57))</f>
        <v/>
      </c>
      <c r="J57" s="13" t="n"/>
      <c r="K57" s="13" t="n"/>
      <c r="L57" s="13" t="n"/>
      <c r="M57" s="13" t="n"/>
      <c r="N57" s="13" t="n"/>
      <c r="O57" s="13" t="n"/>
      <c r="P57" s="13" t="n"/>
      <c r="Q57" s="14">
        <f>IFERROR(IF(OR((N57/O57)=0,SUM(N57/O57)=""),"-",SUM(N57/O57)),"-")</f>
        <v/>
      </c>
    </row>
    <row r="58">
      <c r="B58" s="3" t="inlineStr">
        <is>
          <t>Subsea cable 2</t>
        </is>
      </c>
      <c r="C58" s="13" t="n"/>
      <c r="D58" s="13" t="n"/>
      <c r="E58" s="13" t="n"/>
      <c r="F58" s="13" t="n"/>
      <c r="G58" s="13" t="n"/>
      <c r="H58" s="13" t="n"/>
      <c r="I58" s="14">
        <f>IF(OR((H58-G58)=0,SUM(H58-G58)=""),"-",SUM(H58-G58))</f>
        <v/>
      </c>
      <c r="J58" s="13" t="n"/>
      <c r="K58" s="13" t="n"/>
      <c r="L58" s="13" t="n"/>
      <c r="M58" s="13" t="n"/>
      <c r="N58" s="13" t="n"/>
      <c r="O58" s="13" t="n"/>
      <c r="P58" s="13" t="n"/>
      <c r="Q58" s="14">
        <f>IFERROR(IF(OR((N58/O58)=0,SUM(N58/O58)=""),"-",SUM(N58/O58)),"-")</f>
        <v/>
      </c>
    </row>
    <row r="59">
      <c r="B59" s="3" t="inlineStr">
        <is>
          <t>Subsea cable 3</t>
        </is>
      </c>
      <c r="C59" s="13" t="n"/>
      <c r="D59" s="13" t="n"/>
      <c r="E59" s="13" t="n"/>
      <c r="F59" s="13" t="n"/>
      <c r="G59" s="13" t="n"/>
      <c r="H59" s="13" t="n"/>
      <c r="I59" s="14">
        <f>IF(OR((H59-G59)=0,SUM(H59-G59)=""),"-",SUM(H59-G59))</f>
        <v/>
      </c>
      <c r="J59" s="13" t="n"/>
      <c r="K59" s="13" t="n"/>
      <c r="L59" s="13" t="n"/>
      <c r="M59" s="13" t="n"/>
      <c r="N59" s="13" t="n"/>
      <c r="O59" s="13" t="n"/>
      <c r="P59" s="13" t="n"/>
      <c r="Q59" s="14">
        <f>IFERROR(IF(OR((N59/O59)=0,SUM(N59/O59)=""),"-",SUM(N59/O59)),"-")</f>
        <v/>
      </c>
    </row>
    <row r="60" ht="16" customHeight="1">
      <c r="B60" s="3" t="inlineStr">
        <is>
          <t>Subsea cable 4</t>
        </is>
      </c>
      <c r="C60" s="13" t="n"/>
      <c r="D60" s="13" t="n"/>
      <c r="E60" s="13" t="n"/>
      <c r="F60" s="13" t="n"/>
      <c r="G60" s="13" t="n"/>
      <c r="H60" s="13" t="n"/>
      <c r="I60" s="14">
        <f>IF(OR((H60-G60)=0,SUM(H60-G60)=""),"-",SUM(H60-G60))</f>
        <v/>
      </c>
      <c r="J60" s="13" t="n"/>
      <c r="K60" s="13" t="n"/>
      <c r="L60" s="13" t="n"/>
      <c r="M60" s="13" t="n"/>
      <c r="N60" s="13" t="n"/>
      <c r="O60" s="13" t="n"/>
      <c r="P60" s="13" t="n"/>
      <c r="Q60" s="14">
        <f>IFERROR(IF(OR((N60/O60)=0,SUM(N60/O60)=""),"-",SUM(N60/O60)),"-")</f>
        <v/>
      </c>
    </row>
    <row r="61">
      <c r="B61" s="3" t="inlineStr">
        <is>
          <t>Underground cable (direct-buried) 1</t>
        </is>
      </c>
      <c r="C61" s="13" t="n"/>
      <c r="D61" s="13" t="n"/>
      <c r="E61" s="13" t="n"/>
      <c r="F61" s="13" t="n"/>
      <c r="G61" s="13" t="n"/>
      <c r="H61" s="13" t="n"/>
      <c r="I61" s="14">
        <f>IF(OR((H61-G61)=0,SUM(H61-G61)=""),"-",SUM(H61-G61))</f>
        <v/>
      </c>
      <c r="J61" s="13" t="n"/>
      <c r="K61" s="13" t="n"/>
      <c r="L61" s="13" t="n"/>
      <c r="M61" s="13" t="n"/>
      <c r="N61" s="13" t="n"/>
      <c r="O61" s="13" t="n"/>
      <c r="P61" s="13" t="n"/>
      <c r="Q61" s="14">
        <f>IFERROR(IF(OR((N61/O61)=0,SUM(N61/O61)=""),"-",SUM(N61/O61)),"-")</f>
        <v/>
      </c>
    </row>
    <row r="62">
      <c r="B62" s="3" t="inlineStr">
        <is>
          <t>Underground cable (direct-buried) 2</t>
        </is>
      </c>
      <c r="C62" s="13" t="n"/>
      <c r="D62" s="13" t="n"/>
      <c r="E62" s="13" t="n"/>
      <c r="F62" s="13" t="n"/>
      <c r="G62" s="13" t="n"/>
      <c r="H62" s="13" t="n"/>
      <c r="I62" s="14">
        <f>IF(OR((H62-G62)=0,SUM(H62-G62)=""),"-",SUM(H62-G62))</f>
        <v/>
      </c>
      <c r="J62" s="13" t="n"/>
      <c r="K62" s="13" t="n"/>
      <c r="L62" s="13" t="n"/>
      <c r="M62" s="13" t="n"/>
      <c r="N62" s="13" t="n"/>
      <c r="O62" s="13" t="n"/>
      <c r="P62" s="13" t="n"/>
      <c r="Q62" s="14">
        <f>IFERROR(IF(OR((N62/O62)=0,SUM(N62/O62)=""),"-",SUM(N62/O62)),"-")</f>
        <v/>
      </c>
    </row>
    <row r="63">
      <c r="B63" s="3" t="inlineStr">
        <is>
          <t>Underground cable (direct-buried) 3</t>
        </is>
      </c>
      <c r="C63" s="13" t="n"/>
      <c r="D63" s="13" t="n"/>
      <c r="E63" s="13" t="n"/>
      <c r="F63" s="13" t="n"/>
      <c r="G63" s="13" t="n"/>
      <c r="H63" s="13" t="n"/>
      <c r="I63" s="14">
        <f>IF(OR((H63-G63)=0,SUM(H63-G63)=""),"-",SUM(H63-G63))</f>
        <v/>
      </c>
      <c r="J63" s="13" t="n"/>
      <c r="K63" s="13" t="n"/>
      <c r="L63" s="13" t="n"/>
      <c r="M63" s="13" t="n"/>
      <c r="N63" s="13" t="n"/>
      <c r="O63" s="13" t="n"/>
      <c r="P63" s="13" t="n"/>
      <c r="Q63" s="14">
        <f>IFERROR(IF(OR((N63/O63)=0,SUM(N63/O63)=""),"-",SUM(N63/O63)),"-")</f>
        <v/>
      </c>
    </row>
    <row r="64" ht="16" customHeight="1">
      <c r="B64" s="3" t="inlineStr">
        <is>
          <t>Underground cable (direct-buried) 4</t>
        </is>
      </c>
      <c r="C64" s="13" t="n"/>
      <c r="D64" s="13" t="n"/>
      <c r="E64" s="13" t="n"/>
      <c r="F64" s="13" t="n"/>
      <c r="G64" s="13" t="n"/>
      <c r="H64" s="13" t="n"/>
      <c r="I64" s="14">
        <f>IF(OR((H64-G64)=0,SUM(H64-G64)=""),"-",SUM(H64-G64))</f>
        <v/>
      </c>
      <c r="J64" s="13" t="n"/>
      <c r="K64" s="13" t="n"/>
      <c r="L64" s="13" t="n"/>
      <c r="M64" s="13" t="n"/>
      <c r="N64" s="13" t="n"/>
      <c r="O64" s="13" t="n"/>
      <c r="P64" s="13" t="n"/>
      <c r="Q64" s="14">
        <f>IFERROR(IF(OR((N64/O64)=0,SUM(N64/O64)=""),"-",SUM(N64/O64)),"-")</f>
        <v/>
      </c>
    </row>
    <row r="65">
      <c r="B65" s="3" t="inlineStr">
        <is>
          <t>Tunnel1</t>
        </is>
      </c>
      <c r="C65" s="13" t="n"/>
      <c r="D65" s="13" t="n"/>
      <c r="E65" s="13" t="n"/>
      <c r="F65" s="13" t="n"/>
      <c r="G65" s="13" t="n"/>
      <c r="H65" s="13" t="n"/>
      <c r="I65" s="14">
        <f>IF(OR((H65-G65)=0,SUM(H65-G65)=""),"-",SUM(H65-G65))</f>
        <v/>
      </c>
      <c r="J65" s="13" t="n"/>
      <c r="K65" s="13" t="n"/>
      <c r="L65" s="13" t="n"/>
      <c r="M65" s="13" t="n"/>
      <c r="N65" s="13" t="n"/>
      <c r="O65" s="13" t="n"/>
      <c r="P65" s="13" t="n"/>
      <c r="Q65" s="14">
        <f>IFERROR(IF(OR((N65/O65)=0,SUM(N65/O65)=""),"-",SUM(N65/O65)),"-")</f>
        <v/>
      </c>
    </row>
    <row r="66">
      <c r="B66" s="3" t="inlineStr">
        <is>
          <t>Tunnel2</t>
        </is>
      </c>
      <c r="C66" s="13" t="n"/>
      <c r="D66" s="13" t="n"/>
      <c r="E66" s="13" t="n"/>
      <c r="F66" s="13" t="n"/>
      <c r="G66" s="13" t="n"/>
      <c r="H66" s="13" t="n"/>
      <c r="I66" s="14">
        <f>IF(OR((H66-G66)=0,SUM(H66-G66)=""),"-",SUM(H66-G66))</f>
        <v/>
      </c>
      <c r="J66" s="13" t="n"/>
      <c r="K66" s="13" t="n"/>
      <c r="L66" s="13" t="n"/>
      <c r="M66" s="13" t="n"/>
      <c r="N66" s="13" t="n"/>
      <c r="O66" s="13" t="n"/>
      <c r="P66" s="13" t="n"/>
      <c r="Q66" s="14">
        <f>IFERROR(IF(OR((N66/O66)=0,SUM(N66/O66)=""),"-",SUM(N66/O66)),"-")</f>
        <v/>
      </c>
    </row>
    <row r="67">
      <c r="B67" s="3" t="inlineStr">
        <is>
          <t>Tunnel3</t>
        </is>
      </c>
      <c r="C67" s="13" t="n"/>
      <c r="D67" s="13" t="n"/>
      <c r="E67" s="13" t="n"/>
      <c r="F67" s="13" t="n"/>
      <c r="G67" s="13" t="n"/>
      <c r="H67" s="13" t="n"/>
      <c r="I67" s="14">
        <f>IF(OR((H67-G67)=0,SUM(H67-G67)=""),"-",SUM(H67-G67))</f>
        <v/>
      </c>
      <c r="J67" s="13" t="n"/>
      <c r="K67" s="13" t="n"/>
      <c r="L67" s="13" t="n"/>
      <c r="M67" s="13" t="n"/>
      <c r="N67" s="13" t="n"/>
      <c r="O67" s="13" t="n"/>
      <c r="P67" s="13" t="n"/>
      <c r="Q67" s="14">
        <f>IFERROR(IF(OR((N67/O67)=0,SUM(N67/O67)=""),"-",SUM(N67/O67)),"-")</f>
        <v/>
      </c>
    </row>
    <row r="68" ht="16" customHeight="1">
      <c r="B68" s="3" t="inlineStr">
        <is>
          <t>Tunnel4</t>
        </is>
      </c>
      <c r="C68" s="13" t="n"/>
      <c r="D68" s="13" t="n"/>
      <c r="E68" s="13" t="n"/>
      <c r="F68" s="13" t="n"/>
      <c r="G68" s="13" t="n"/>
      <c r="H68" s="13" t="n"/>
      <c r="I68" s="14">
        <f>IF(OR((H68-G68)=0,SUM(H68-G68)=""),"-",SUM(H68-G68))</f>
        <v/>
      </c>
      <c r="J68" s="13" t="n"/>
      <c r="K68" s="13" t="n"/>
      <c r="L68" s="13" t="n"/>
      <c r="M68" s="13" t="n"/>
      <c r="N68" s="13" t="n"/>
      <c r="O68" s="13" t="n"/>
      <c r="P68" s="13" t="n"/>
      <c r="Q68" s="14">
        <f>IFERROR(IF(OR((N68/O68)=0,SUM(N68/O68)=""),"-",SUM(N68/O68)),"-")</f>
        <v/>
      </c>
    </row>
    <row r="69">
      <c r="B69" s="3" t="inlineStr">
        <is>
          <t>AC overhead line 1</t>
        </is>
      </c>
      <c r="C69" s="13" t="n"/>
      <c r="D69" s="13" t="n"/>
      <c r="E69" s="13" t="n"/>
      <c r="F69" s="13" t="n"/>
      <c r="G69" s="13" t="n"/>
      <c r="H69" s="13" t="n"/>
      <c r="I69" s="14">
        <f>IF(OR((H69-G69)=0,SUM(H69-G69)=""),"-",SUM(H69-G69))</f>
        <v/>
      </c>
      <c r="J69" s="13" t="n"/>
      <c r="K69" s="13" t="n"/>
      <c r="L69" s="13" t="n"/>
      <c r="M69" s="13" t="n"/>
      <c r="N69" s="13" t="n"/>
      <c r="O69" s="13" t="n"/>
      <c r="P69" s="13" t="n"/>
      <c r="Q69" s="14">
        <f>IFERROR(IF(OR((N69/O69)=0,SUM(N69/O69)=""),"-",SUM(N69/O69)),"-")</f>
        <v/>
      </c>
    </row>
    <row r="70">
      <c r="B70" s="3" t="inlineStr">
        <is>
          <t>AC overhead line 2</t>
        </is>
      </c>
      <c r="C70" s="13" t="n"/>
      <c r="D70" s="13" t="n"/>
      <c r="E70" s="13" t="n"/>
      <c r="F70" s="13" t="n"/>
      <c r="G70" s="13" t="n"/>
      <c r="H70" s="13" t="n"/>
      <c r="I70" s="14">
        <f>IF(OR((H70-G70)=0,SUM(H70-G70)=""),"-",SUM(H70-G70))</f>
        <v/>
      </c>
      <c r="J70" s="13" t="n"/>
      <c r="K70" s="13" t="n"/>
      <c r="L70" s="13" t="n"/>
      <c r="M70" s="13" t="n"/>
      <c r="N70" s="13" t="n"/>
      <c r="O70" s="13" t="n"/>
      <c r="P70" s="13" t="n"/>
      <c r="Q70" s="14">
        <f>IFERROR(IF(OR((N70/O70)=0,SUM(N70/O70)=""),"-",SUM(N70/O70)),"-")</f>
        <v/>
      </c>
    </row>
    <row r="71">
      <c r="B71" s="3" t="inlineStr">
        <is>
          <t>AC overhead line 3</t>
        </is>
      </c>
      <c r="C71" s="13" t="n"/>
      <c r="D71" s="13" t="n"/>
      <c r="E71" s="13" t="n"/>
      <c r="F71" s="13" t="n"/>
      <c r="G71" s="13" t="n"/>
      <c r="H71" s="13" t="n"/>
      <c r="I71" s="14">
        <f>IF(OR((H71-G71)=0,SUM(H71-G71)=""),"-",SUM(H71-G71))</f>
        <v/>
      </c>
      <c r="J71" s="13" t="n"/>
      <c r="K71" s="13" t="n"/>
      <c r="L71" s="13" t="n"/>
      <c r="M71" s="13" t="n"/>
      <c r="N71" s="13" t="n"/>
      <c r="O71" s="13" t="n"/>
      <c r="P71" s="13" t="n"/>
      <c r="Q71" s="14">
        <f>IFERROR(IF(OR((N71/O71)=0,SUM(N71/O71)=""),"-",SUM(N71/O71)),"-")</f>
        <v/>
      </c>
    </row>
    <row r="72" ht="16" customHeight="1">
      <c r="B72" s="3" t="inlineStr">
        <is>
          <t>AC overhead line 4</t>
        </is>
      </c>
      <c r="C72" s="13" t="n"/>
      <c r="D72" s="13" t="n"/>
      <c r="E72" s="13" t="n"/>
      <c r="F72" s="13" t="n"/>
      <c r="G72" s="13" t="n"/>
      <c r="H72" s="13" t="n"/>
      <c r="I72" s="14">
        <f>IF(OR((H72-G72)=0,SUM(H72-G72)=""),"-",SUM(H72-G72))</f>
        <v/>
      </c>
      <c r="J72" s="13" t="n"/>
      <c r="K72" s="13" t="n"/>
      <c r="L72" s="13" t="n"/>
      <c r="M72" s="13" t="n"/>
      <c r="N72" s="13" t="n"/>
      <c r="O72" s="13" t="n"/>
      <c r="P72" s="13" t="n"/>
      <c r="Q72" s="14">
        <f>IFERROR(IF(OR((N72/O72)=0,SUM(N72/O72)=""),"-",SUM(N72/O72)),"-")</f>
        <v/>
      </c>
    </row>
    <row r="73">
      <c r="B73" s="3" t="inlineStr">
        <is>
          <t>AC gas insulated line 1</t>
        </is>
      </c>
      <c r="C73" s="13" t="n"/>
      <c r="D73" s="13" t="n"/>
      <c r="E73" s="13" t="n"/>
      <c r="F73" s="13" t="n"/>
      <c r="G73" s="13" t="n"/>
      <c r="H73" s="13" t="n"/>
      <c r="I73" s="14">
        <f>IF(OR((H73-G73)=0,SUM(H73-G73)=""),"-",SUM(H73-G73))</f>
        <v/>
      </c>
      <c r="J73" s="13" t="n"/>
      <c r="K73" s="13" t="n"/>
      <c r="L73" s="13" t="n"/>
      <c r="M73" s="13" t="n"/>
      <c r="N73" s="13" t="n"/>
      <c r="O73" s="13" t="n"/>
      <c r="P73" s="13" t="n"/>
      <c r="Q73" s="14">
        <f>IFERROR(IF(OR((N73/O73)=0,SUM(N73/O73)=""),"-",SUM(N73/O73)),"-")</f>
        <v/>
      </c>
    </row>
    <row r="74">
      <c r="B74" s="3" t="inlineStr">
        <is>
          <t>AC gas insulated line 2</t>
        </is>
      </c>
      <c r="C74" s="13" t="n"/>
      <c r="D74" s="13" t="n"/>
      <c r="E74" s="13" t="n"/>
      <c r="F74" s="13" t="n"/>
      <c r="G74" s="13" t="n"/>
      <c r="H74" s="13" t="n"/>
      <c r="I74" s="14">
        <f>IF(OR((H74-G74)=0,SUM(H74-G74)=""),"-",SUM(H74-G74))</f>
        <v/>
      </c>
      <c r="J74" s="13" t="n"/>
      <c r="K74" s="13" t="n"/>
      <c r="L74" s="13" t="n"/>
      <c r="M74" s="13" t="n"/>
      <c r="N74" s="13" t="n"/>
      <c r="O74" s="13" t="n"/>
      <c r="P74" s="13" t="n"/>
      <c r="Q74" s="14">
        <f>IFERROR(IF(OR((N74/O74)=0,SUM(N74/O74)=""),"-",SUM(N74/O74)),"-")</f>
        <v/>
      </c>
    </row>
    <row r="75">
      <c r="B75" s="3" t="inlineStr">
        <is>
          <t>AC gas insulated line 3</t>
        </is>
      </c>
      <c r="C75" s="13" t="n"/>
      <c r="D75" s="13" t="n"/>
      <c r="E75" s="13" t="n"/>
      <c r="F75" s="13" t="n"/>
      <c r="G75" s="13" t="n"/>
      <c r="H75" s="13" t="n"/>
      <c r="I75" s="14">
        <f>IF(OR((H75-G75)=0,SUM(H75-G75)=""),"-",SUM(H75-G75))</f>
        <v/>
      </c>
      <c r="J75" s="13" t="n"/>
      <c r="K75" s="13" t="n"/>
      <c r="L75" s="13" t="n"/>
      <c r="M75" s="13" t="n"/>
      <c r="N75" s="13" t="n"/>
      <c r="O75" s="13" t="n"/>
      <c r="P75" s="13" t="n"/>
      <c r="Q75" s="14">
        <f>IFERROR(IF(OR((N75/O75)=0,SUM(N75/O75)=""),"-",SUM(N75/O75)),"-")</f>
        <v/>
      </c>
    </row>
    <row r="76" ht="16" customHeight="1">
      <c r="B76" s="3" t="inlineStr">
        <is>
          <t>AC gas insulated line 4</t>
        </is>
      </c>
      <c r="C76" s="13" t="n"/>
      <c r="D76" s="13" t="n"/>
      <c r="E76" s="13" t="n"/>
      <c r="F76" s="13" t="n"/>
      <c r="G76" s="13" t="n"/>
      <c r="H76" s="13" t="n"/>
      <c r="I76" s="14">
        <f>IF(OR((H76-G76)=0,SUM(H76-G76)=""),"-",SUM(H76-G76))</f>
        <v/>
      </c>
      <c r="J76" s="13" t="n"/>
      <c r="K76" s="13" t="n"/>
      <c r="L76" s="13" t="n"/>
      <c r="M76" s="13" t="n"/>
      <c r="N76" s="13" t="n"/>
      <c r="O76" s="13" t="n"/>
      <c r="P76" s="13" t="n"/>
      <c r="Q76" s="14">
        <f>IFERROR(IF(OR((N76/O76)=0,SUM(N76/O76)=""),"-",SUM(N76/O76)),"-")</f>
        <v/>
      </c>
    </row>
    <row r="77">
      <c r="B77" s="3" t="inlineStr">
        <is>
          <t>HVDC Converter station 1</t>
        </is>
      </c>
      <c r="C77" s="13" t="n"/>
      <c r="D77" s="13" t="n"/>
      <c r="E77" s="13" t="n"/>
      <c r="F77" s="13" t="n"/>
      <c r="G77" s="13" t="n"/>
      <c r="H77" s="13" t="n"/>
      <c r="I77" s="14">
        <f>IF(OR((H77-G77)=0,SUM(H77-G77)=""),"-",SUM(H77-G77))</f>
        <v/>
      </c>
      <c r="J77" s="13" t="n"/>
      <c r="K77" s="13" t="n"/>
      <c r="L77" s="13" t="n"/>
      <c r="M77" s="13" t="n"/>
      <c r="N77" s="13" t="n"/>
      <c r="O77" s="13" t="n"/>
      <c r="P77" s="13" t="n"/>
      <c r="Q77" s="14">
        <f>IFERROR(IF(OR((N77/O77)=0,SUM(N77/O77)=""),"-",SUM(N77/O77)),"-")</f>
        <v/>
      </c>
    </row>
    <row r="78">
      <c r="B78" s="3" t="inlineStr">
        <is>
          <t>HVDC Converter station 2</t>
        </is>
      </c>
      <c r="C78" s="13" t="n"/>
      <c r="D78" s="13" t="n"/>
      <c r="E78" s="13" t="n"/>
      <c r="F78" s="13" t="n"/>
      <c r="G78" s="13" t="n"/>
      <c r="H78" s="13" t="n"/>
      <c r="I78" s="14">
        <f>IF(OR((H78-G78)=0,SUM(H78-G78)=""),"-",SUM(H78-G78))</f>
        <v/>
      </c>
      <c r="J78" s="13" t="n"/>
      <c r="K78" s="13" t="n"/>
      <c r="L78" s="13" t="n"/>
      <c r="M78" s="13" t="n"/>
      <c r="N78" s="13" t="n"/>
      <c r="O78" s="13" t="n"/>
      <c r="P78" s="13" t="n"/>
      <c r="Q78" s="14">
        <f>IFERROR(IF(OR((N78/O78)=0,SUM(N78/O78)=""),"-",SUM(N78/O78)),"-")</f>
        <v/>
      </c>
    </row>
    <row r="79">
      <c r="B79" s="3" t="inlineStr">
        <is>
          <t>HVDC Converter station 3</t>
        </is>
      </c>
      <c r="C79" s="13" t="n"/>
      <c r="D79" s="13" t="n"/>
      <c r="E79" s="13" t="n"/>
      <c r="F79" s="13" t="n"/>
      <c r="G79" s="13" t="n"/>
      <c r="H79" s="13" t="n"/>
      <c r="I79" s="14">
        <f>IF(OR((H79-G79)=0,SUM(H79-G79)=""),"-",SUM(H79-G79))</f>
        <v/>
      </c>
      <c r="J79" s="13" t="n"/>
      <c r="K79" s="13" t="n"/>
      <c r="L79" s="13" t="n"/>
      <c r="M79" s="13" t="n"/>
      <c r="N79" s="13" t="n"/>
      <c r="O79" s="13" t="n"/>
      <c r="P79" s="13" t="n"/>
      <c r="Q79" s="14">
        <f>IFERROR(IF(OR((N79/O79)=0,SUM(N79/O79)=""),"-",SUM(N79/O79)),"-")</f>
        <v/>
      </c>
    </row>
    <row r="80" ht="16" customHeight="1">
      <c r="B80" s="3" t="inlineStr">
        <is>
          <t>HVDC Converter station 4</t>
        </is>
      </c>
      <c r="C80" s="13" t="n"/>
      <c r="D80" s="13" t="n"/>
      <c r="E80" s="13" t="n"/>
      <c r="F80" s="13" t="n"/>
      <c r="G80" s="13" t="n"/>
      <c r="H80" s="13" t="n"/>
      <c r="I80" s="14">
        <f>IF(OR((H80-G80)=0,SUM(H80-G80)=""),"-",SUM(H80-G80))</f>
        <v/>
      </c>
      <c r="J80" s="13" t="n"/>
      <c r="K80" s="13" t="n"/>
      <c r="L80" s="13" t="n"/>
      <c r="M80" s="13" t="n"/>
      <c r="N80" s="13" t="n"/>
      <c r="O80" s="13" t="n"/>
      <c r="P80" s="13" t="n"/>
      <c r="Q80" s="14">
        <f>IFERROR(IF(OR((N80/O80)=0,SUM(N80/O80)=""),"-",SUM(N80/O80)),"-")</f>
        <v/>
      </c>
    </row>
    <row r="81">
      <c r="B81" s="3" t="inlineStr">
        <is>
          <t>Substation 1</t>
        </is>
      </c>
      <c r="C81" s="13" t="n"/>
      <c r="D81" s="13" t="n"/>
      <c r="E81" s="13" t="n"/>
      <c r="F81" s="13" t="n"/>
      <c r="G81" s="13" t="n"/>
      <c r="H81" s="13" t="n"/>
      <c r="I81" s="14">
        <f>IF(OR((H81-G81)=0,SUM(H81-G81)=""),"-",SUM(H81-G81))</f>
        <v/>
      </c>
      <c r="J81" s="13" t="n"/>
      <c r="K81" s="13" t="n"/>
      <c r="L81" s="13" t="n"/>
      <c r="M81" s="13" t="n"/>
      <c r="N81" s="13" t="n"/>
      <c r="O81" s="13" t="n"/>
      <c r="P81" s="13" t="n"/>
      <c r="Q81" s="14">
        <f>IFERROR(IF(OR((N81/O81)=0,SUM(N81/O81)=""),"-",SUM(N81/O81)),"-")</f>
        <v/>
      </c>
    </row>
    <row r="82">
      <c r="B82" s="3" t="inlineStr">
        <is>
          <t>Substation 2</t>
        </is>
      </c>
      <c r="C82" s="13" t="n"/>
      <c r="D82" s="13" t="n"/>
      <c r="E82" s="13" t="n"/>
      <c r="F82" s="13" t="n"/>
      <c r="G82" s="13" t="n"/>
      <c r="H82" s="13" t="n"/>
      <c r="I82" s="14">
        <f>IF(OR((H82-G82)=0,SUM(H82-G82)=""),"-",SUM(H82-G82))</f>
        <v/>
      </c>
      <c r="J82" s="13" t="n"/>
      <c r="K82" s="13" t="n"/>
      <c r="L82" s="13" t="n"/>
      <c r="M82" s="13" t="n"/>
      <c r="N82" s="13" t="n"/>
      <c r="O82" s="13" t="n"/>
      <c r="P82" s="13" t="n"/>
      <c r="Q82" s="14">
        <f>IFERROR(IF(OR((N82/O82)=0,SUM(N82/O82)=""),"-",SUM(N82/O82)),"-")</f>
        <v/>
      </c>
    </row>
    <row r="83">
      <c r="B83" s="3" t="inlineStr">
        <is>
          <t>Substation 3</t>
        </is>
      </c>
      <c r="C83" s="13" t="n"/>
      <c r="D83" s="13" t="n"/>
      <c r="E83" s="13" t="n"/>
      <c r="F83" s="13" t="n"/>
      <c r="G83" s="13" t="n"/>
      <c r="H83" s="13" t="n"/>
      <c r="I83" s="14">
        <f>IF(OR((H83-G83)=0,SUM(H83-G83)=""),"-",SUM(H83-G83))</f>
        <v/>
      </c>
      <c r="J83" s="13" t="n"/>
      <c r="K83" s="13" t="n"/>
      <c r="L83" s="13" t="n"/>
      <c r="M83" s="13" t="n"/>
      <c r="N83" s="13" t="n"/>
      <c r="O83" s="13" t="n"/>
      <c r="P83" s="13" t="n"/>
      <c r="Q83" s="14">
        <f>IFERROR(IF(OR((N83/O83)=0,SUM(N83/O83)=""),"-",SUM(N83/O83)),"-")</f>
        <v/>
      </c>
    </row>
    <row r="84" ht="16" customHeight="1">
      <c r="B84" s="3" t="inlineStr">
        <is>
          <t>Substation 4</t>
        </is>
      </c>
      <c r="C84" s="13" t="n"/>
      <c r="D84" s="13" t="n"/>
      <c r="E84" s="13" t="n"/>
      <c r="F84" s="13" t="n"/>
      <c r="G84" s="13" t="n"/>
      <c r="H84" s="13" t="n"/>
      <c r="I84" s="14">
        <f>IF(OR((H84-G84)=0,SUM(H84-G84)=""),"-",SUM(H84-G84))</f>
        <v/>
      </c>
      <c r="J84" s="13" t="n"/>
      <c r="K84" s="13" t="n"/>
      <c r="L84" s="13" t="n"/>
      <c r="M84" s="13" t="n"/>
      <c r="N84" s="13" t="n"/>
      <c r="O84" s="13" t="n"/>
      <c r="P84" s="13" t="n"/>
      <c r="Q84" s="14">
        <f>IFERROR(IF(OR((N84/O84)=0,SUM(N84/O84)=""),"-",SUM(N84/O84)),"-")</f>
        <v/>
      </c>
    </row>
    <row r="85">
      <c r="B85" s="3" t="inlineStr">
        <is>
          <t>Offshore Platform 1</t>
        </is>
      </c>
      <c r="C85" s="13" t="n"/>
      <c r="D85" s="13" t="n"/>
      <c r="E85" s="13" t="n"/>
      <c r="F85" s="13" t="n"/>
      <c r="G85" s="13" t="n"/>
      <c r="H85" s="13" t="n"/>
      <c r="I85" s="14">
        <f>IF(OR((H85-G85)=0,SUM(H85-G85)=""),"-",SUM(H85-G85))</f>
        <v/>
      </c>
      <c r="J85" s="13" t="n"/>
      <c r="K85" s="13" t="n"/>
      <c r="L85" s="13" t="n"/>
      <c r="M85" s="13" t="n"/>
      <c r="N85" s="13" t="n"/>
      <c r="O85" s="13" t="n"/>
      <c r="P85" s="13" t="n"/>
      <c r="Q85" s="14">
        <f>IFERROR(IF(OR((N85/O85)=0,SUM(N85/O85)=""),"-",SUM(N85/O85)),"-")</f>
        <v/>
      </c>
    </row>
    <row r="86">
      <c r="B86" s="3" t="inlineStr">
        <is>
          <t>Offshore Platform 2</t>
        </is>
      </c>
      <c r="C86" s="13" t="n"/>
      <c r="D86" s="13" t="n"/>
      <c r="E86" s="13" t="n"/>
      <c r="F86" s="13" t="n"/>
      <c r="G86" s="13" t="n"/>
      <c r="H86" s="13" t="n"/>
      <c r="I86" s="14">
        <f>IF(OR((H86-G86)=0,SUM(H86-G86)=""),"-",SUM(H86-G86))</f>
        <v/>
      </c>
      <c r="J86" s="13" t="n"/>
      <c r="K86" s="13" t="n"/>
      <c r="L86" s="13" t="n"/>
      <c r="M86" s="13" t="n"/>
      <c r="N86" s="13" t="n"/>
      <c r="O86" s="13" t="n"/>
      <c r="P86" s="13" t="n"/>
      <c r="Q86" s="14">
        <f>IFERROR(IF(OR((N86/O86)=0,SUM(N86/O86)=""),"-",SUM(N86/O86)),"-")</f>
        <v/>
      </c>
    </row>
    <row r="87">
      <c r="B87" s="3" t="inlineStr">
        <is>
          <t>Offshore Platform 3</t>
        </is>
      </c>
      <c r="C87" s="13" t="n"/>
      <c r="D87" s="13" t="n"/>
      <c r="E87" s="13" t="n"/>
      <c r="F87" s="13" t="n"/>
      <c r="G87" s="13" t="n"/>
      <c r="H87" s="13" t="n"/>
      <c r="I87" s="14">
        <f>IF(OR((H87-G87)=0,SUM(H87-G87)=""),"-",SUM(H87-G87))</f>
        <v/>
      </c>
      <c r="J87" s="13" t="n"/>
      <c r="K87" s="13" t="n"/>
      <c r="L87" s="13" t="n"/>
      <c r="M87" s="13" t="n"/>
      <c r="N87" s="13" t="n"/>
      <c r="O87" s="13" t="n"/>
      <c r="P87" s="13" t="n"/>
      <c r="Q87" s="14">
        <f>IFERROR(IF(OR((N87/O87)=0,SUM(N87/O87)=""),"-",SUM(N87/O87)),"-")</f>
        <v/>
      </c>
    </row>
    <row r="88" ht="16" customHeight="1">
      <c r="B88" s="3" t="inlineStr">
        <is>
          <t>Offshore Platform 4</t>
        </is>
      </c>
      <c r="C88" s="13" t="n"/>
      <c r="D88" s="13" t="n"/>
      <c r="E88" s="13" t="n"/>
      <c r="F88" s="13" t="n"/>
      <c r="G88" s="13" t="n"/>
      <c r="H88" s="13" t="n"/>
      <c r="I88" s="14">
        <f>IF(OR((H88-G88)=0,SUM(H88-G88)=""),"-",SUM(H88-G88))</f>
        <v/>
      </c>
      <c r="J88" s="13" t="n"/>
      <c r="K88" s="13" t="n"/>
      <c r="L88" s="13" t="n"/>
      <c r="M88" s="13" t="n"/>
      <c r="N88" s="13" t="n"/>
      <c r="O88" s="13" t="n"/>
      <c r="P88" s="13" t="n"/>
      <c r="Q88" s="14">
        <f>IFERROR(IF(OR((N88/O88)=0,SUM(N88/O88)=""),"-",SUM(N88/O88)),"-")</f>
        <v/>
      </c>
    </row>
    <row r="89" ht="16" customHeight="1">
      <c r="B89" s="3" t="inlineStr">
        <is>
          <t>Overall Development Costs</t>
        </is>
      </c>
      <c r="C89" s="7" t="n"/>
      <c r="D89" s="7" t="n"/>
      <c r="E89" s="7" t="n"/>
      <c r="F89" s="13" t="n"/>
      <c r="G89" s="13" t="n"/>
      <c r="H89" s="13" t="n"/>
      <c r="I89" s="14">
        <f>IF(OR((H89-G89)=0,SUM(H89-G89)=""),"-",SUM(H89-G89))</f>
        <v/>
      </c>
      <c r="J89" s="7" t="n"/>
      <c r="K89" s="7" t="n"/>
      <c r="L89" s="7" t="n"/>
      <c r="M89" s="7" t="n"/>
      <c r="N89" s="14">
        <f>O125</f>
        <v/>
      </c>
      <c r="O89" s="7" t="n"/>
      <c r="P89" s="7" t="n"/>
      <c r="Q89" s="7" t="n"/>
    </row>
    <row r="91" ht="16" customHeight="1">
      <c r="B91" s="8" t="inlineStr">
        <is>
          <t>Table 4: Project Capex spend profile (2021/22 prices)</t>
        </is>
      </c>
    </row>
    <row r="92" ht="42.75" customHeight="1">
      <c r="B92" s="20" t="inlineStr">
        <is>
          <t>Asset Class</t>
        </is>
      </c>
      <c r="C92" s="21" t="inlineStr">
        <is>
          <t>Project element</t>
        </is>
      </c>
      <c r="D92" s="22" t="inlineStr">
        <is>
          <t>2021/22</t>
        </is>
      </c>
      <c r="E92" s="22" t="inlineStr">
        <is>
          <t>2022/23</t>
        </is>
      </c>
      <c r="F92" s="22" t="inlineStr">
        <is>
          <t>2023/24</t>
        </is>
      </c>
      <c r="G92" s="22" t="inlineStr">
        <is>
          <t>2024/25</t>
        </is>
      </c>
      <c r="H92" s="22" t="inlineStr">
        <is>
          <t>2025/26</t>
        </is>
      </c>
      <c r="I92" s="22" t="inlineStr">
        <is>
          <t>2026/27</t>
        </is>
      </c>
      <c r="J92" s="22" t="inlineStr">
        <is>
          <t>2027/28</t>
        </is>
      </c>
      <c r="K92" s="22" t="inlineStr">
        <is>
          <t>2028/29</t>
        </is>
      </c>
      <c r="L92" s="22" t="inlineStr">
        <is>
          <t>2029/30</t>
        </is>
      </c>
      <c r="M92" s="22" t="inlineStr">
        <is>
          <t>2030/31</t>
        </is>
      </c>
      <c r="N92" s="22" t="inlineStr">
        <is>
          <t>2031/32</t>
        </is>
      </c>
      <c r="O92" s="22" t="inlineStr">
        <is>
          <t>Total</t>
        </is>
      </c>
    </row>
    <row r="93">
      <c r="B93" s="3">
        <f>B57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4">
        <f>IF(OR(SUM(D93:N93)=0,SUM(D93:N93)=""),"-",SUM(D93:N93))</f>
        <v/>
      </c>
    </row>
    <row r="94">
      <c r="B94" s="3">
        <f>B58</f>
        <v/>
      </c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4">
        <f>IF(OR(SUM(D94:N94)=0,SUM(D94:N94)=""),"-",SUM(D94:N94))</f>
        <v/>
      </c>
    </row>
    <row r="95">
      <c r="B95" s="3">
        <f>B59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4">
        <f>IF(OR(SUM(D95:N95)=0,SUM(D95:N95)=""),"-",SUM(D95:N95))</f>
        <v/>
      </c>
    </row>
    <row r="96" ht="16" customHeight="1">
      <c r="B96" s="3">
        <f>B60</f>
        <v/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4">
        <f>IF(OR(SUM(D96:N96)=0,SUM(D96:N96)=""),"-",SUM(D96:N96))</f>
        <v/>
      </c>
    </row>
    <row r="97">
      <c r="B97" s="3">
        <f>B61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4">
        <f>IF(OR(SUM(D97:N97)=0,SUM(D97:N97)=""),"-",SUM(D97:N97))</f>
        <v/>
      </c>
    </row>
    <row r="98">
      <c r="B98" s="3">
        <f>B62</f>
        <v/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4">
        <f>IF(OR(SUM(D98:N98)=0,SUM(D98:N98)=""),"-",SUM(D98:N98))</f>
        <v/>
      </c>
    </row>
    <row r="99">
      <c r="B99" s="3">
        <f>B63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4">
        <f>IF(OR(SUM(D99:N99)=0,SUM(D99:N99)=""),"-",SUM(D99:N99))</f>
        <v/>
      </c>
    </row>
    <row r="100" ht="16" customHeight="1">
      <c r="B100" s="3">
        <f>B64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4">
        <f>IF(OR(SUM(D100:N100)=0,SUM(D100:N100)=""),"-",SUM(D100:N100))</f>
        <v/>
      </c>
    </row>
    <row r="101">
      <c r="B101" s="3">
        <f>B65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4">
        <f>IF(OR(SUM(D101:N101)=0,SUM(D101:N101)=""),"-",SUM(D101:N101))</f>
        <v/>
      </c>
    </row>
    <row r="102">
      <c r="B102" s="3">
        <f>B66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4">
        <f>IF(OR(SUM(D102:N102)=0,SUM(D102:N102)=""),"-",SUM(D102:N102))</f>
        <v/>
      </c>
    </row>
    <row r="103">
      <c r="B103" s="3">
        <f>B67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4">
        <f>IF(OR(SUM(D103:N103)=0,SUM(D103:N103)=""),"-",SUM(D103:N103))</f>
        <v/>
      </c>
    </row>
    <row r="104" ht="16" customHeight="1">
      <c r="B104" s="3">
        <f>B68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4">
        <f>IF(OR(SUM(D104:N104)=0,SUM(D104:N104)=""),"-",SUM(D104:N104))</f>
        <v/>
      </c>
    </row>
    <row r="105">
      <c r="B105" s="3">
        <f>B69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4">
        <f>IF(OR(SUM(D105:N105)=0,SUM(D105:N105)=""),"-",SUM(D105:N105))</f>
        <v/>
      </c>
    </row>
    <row r="106">
      <c r="B106" s="3">
        <f>B70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4">
        <f>IF(OR(SUM(D106:N106)=0,SUM(D106:N106)=""),"-",SUM(D106:N106))</f>
        <v/>
      </c>
    </row>
    <row r="107">
      <c r="B107" s="3">
        <f>B71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4">
        <f>IF(OR(SUM(D107:N107)=0,SUM(D107:N107)=""),"-",SUM(D107:N107))</f>
        <v/>
      </c>
    </row>
    <row r="108" ht="16" customHeight="1">
      <c r="B108" s="3">
        <f>B72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4">
        <f>IF(OR(SUM(D108:N108)=0,SUM(D108:N108)=""),"-",SUM(D108:N108))</f>
        <v/>
      </c>
    </row>
    <row r="109">
      <c r="B109" s="3">
        <f>B73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4">
        <f>IF(OR(SUM(D109:N109)=0,SUM(D109:N109)=""),"-",SUM(D109:N109))</f>
        <v/>
      </c>
    </row>
    <row r="110">
      <c r="B110" s="3">
        <f>B74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4">
        <f>IF(OR(SUM(D110:N110)=0,SUM(D110:N110)=""),"-",SUM(D110:N110))</f>
        <v/>
      </c>
    </row>
    <row r="111">
      <c r="B111" s="3">
        <f>B75</f>
        <v/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4">
        <f>IF(OR(SUM(D111:N111)=0,SUM(D111:N111)=""),"-",SUM(D111:N111))</f>
        <v/>
      </c>
    </row>
    <row r="112" ht="16" customHeight="1">
      <c r="B112" s="3">
        <f>B76</f>
        <v/>
      </c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4">
        <f>IF(OR(SUM(D112:N112)=0,SUM(D112:N112)=""),"-",SUM(D112:N112))</f>
        <v/>
      </c>
    </row>
    <row r="113">
      <c r="B113" s="3">
        <f>B77</f>
        <v/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4">
        <f>IF(OR(SUM(D113:N113)=0,SUM(D113:N113)=""),"-",SUM(D113:N113))</f>
        <v/>
      </c>
    </row>
    <row r="114">
      <c r="B114" s="3">
        <f>B78</f>
        <v/>
      </c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4">
        <f>IF(OR(SUM(D114:N114)=0,SUM(D114:N114)=""),"-",SUM(D114:N114))</f>
        <v/>
      </c>
    </row>
    <row r="115">
      <c r="B115" s="3">
        <f>B79</f>
        <v/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4">
        <f>IF(OR(SUM(D115:N115)=0,SUM(D115:N115)=""),"-",SUM(D115:N115))</f>
        <v/>
      </c>
    </row>
    <row r="116" ht="16" customHeight="1">
      <c r="B116" s="3">
        <f>B80</f>
        <v/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4">
        <f>IF(OR(SUM(D116:N116)=0,SUM(D116:N116)=""),"-",SUM(D116:N116))</f>
        <v/>
      </c>
    </row>
    <row r="117">
      <c r="B117" s="3">
        <f>B81</f>
        <v/>
      </c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4">
        <f>IF(OR(SUM(D117:N117)=0,SUM(D117:N117)=""),"-",SUM(D117:N117))</f>
        <v/>
      </c>
    </row>
    <row r="118">
      <c r="B118" s="3">
        <f>B82</f>
        <v/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4">
        <f>IF(OR(SUM(D118:N118)=0,SUM(D118:N118)=""),"-",SUM(D118:N118))</f>
        <v/>
      </c>
    </row>
    <row r="119">
      <c r="B119" s="3">
        <f>B83</f>
        <v/>
      </c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4">
        <f>IF(OR(SUM(D119:N119)=0,SUM(D119:N119)=""),"-",SUM(D119:N119))</f>
        <v/>
      </c>
    </row>
    <row r="120" ht="16" customHeight="1">
      <c r="B120" s="3">
        <f>B84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4">
        <f>IF(OR(SUM(D120:N120)=0,SUM(D120:N120)=""),"-",SUM(D120:N120))</f>
        <v/>
      </c>
    </row>
    <row r="121">
      <c r="B121" s="3" t="inlineStr">
        <is>
          <t>Offshore Platform 1</t>
        </is>
      </c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4">
        <f>IF(OR(SUM(D121:N121)=0,SUM(D121:N121)=""),"-",SUM(D121:N121))</f>
        <v/>
      </c>
    </row>
    <row r="122">
      <c r="B122" s="3" t="inlineStr">
        <is>
          <t>Offshore Platform 2</t>
        </is>
      </c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4">
        <f>IF(OR(SUM(D122:N122)=0,SUM(D122:N122)=""),"-",SUM(D122:N122))</f>
        <v/>
      </c>
    </row>
    <row r="123">
      <c r="B123" s="3" t="inlineStr">
        <is>
          <t>Offshore Platform 3</t>
        </is>
      </c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4">
        <f>IF(OR(SUM(D123:N123)=0,SUM(D123:N123)=""),"-",SUM(D123:N123))</f>
        <v/>
      </c>
    </row>
    <row r="124" ht="16" customHeight="1">
      <c r="B124" s="3" t="inlineStr">
        <is>
          <t>Offshore Platform 4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4">
        <f>IF(OR(SUM(D124:N124)=0,SUM(D124:N124)=""),"-",SUM(D124:N124))</f>
        <v/>
      </c>
    </row>
    <row r="125" ht="16" customHeight="1">
      <c r="B125" s="3" t="inlineStr">
        <is>
          <t>Overall Development Costs</t>
        </is>
      </c>
      <c r="C125" s="7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4">
        <f>IF(OR(SUM(D125:N125)=0,SUM(D125:N125)=""),"-",SUM(D125:N125))</f>
        <v/>
      </c>
    </row>
    <row r="127" ht="16" customHeight="1">
      <c r="B127" s="8" t="inlineStr">
        <is>
          <t>Table 5: Project Operational, Maintenance and Decommissioning costs  (2021/22 prices)</t>
        </is>
      </c>
    </row>
    <row r="128" ht="51" customHeight="1">
      <c r="B128" s="20" t="inlineStr">
        <is>
          <t>Asset Class</t>
        </is>
      </c>
      <c r="C128" s="21" t="inlineStr">
        <is>
          <t>Project element</t>
        </is>
      </c>
      <c r="D128" s="20" t="inlineStr">
        <is>
          <t>Variable Operational Costs (yearly)</t>
        </is>
      </c>
      <c r="E128" s="20" t="inlineStr">
        <is>
          <t>Decommissioning</t>
        </is>
      </c>
      <c r="F128" s="20" t="inlineStr">
        <is>
          <t>Mid-life replacement</t>
        </is>
      </c>
      <c r="G128" s="20" t="inlineStr">
        <is>
          <t>Construction Completion</t>
        </is>
      </c>
      <c r="H128" s="20" t="inlineStr">
        <is>
          <t>Cap and Floor lifetime</t>
        </is>
      </c>
      <c r="I128" s="20" t="inlineStr">
        <is>
          <t>Variable Operational Costs (lifetime)</t>
        </is>
      </c>
      <c r="J128" s="20" t="inlineStr">
        <is>
          <t>Total</t>
        </is>
      </c>
    </row>
    <row r="129">
      <c r="B129" s="3">
        <f>B93</f>
        <v/>
      </c>
      <c r="C129" s="13" t="n"/>
      <c r="D129" s="13" t="n"/>
      <c r="E129" s="13" t="n"/>
      <c r="F129" s="13" t="n"/>
      <c r="G129" s="14">
        <f>IF(OR(H57=0,H57=""),"-",H57)</f>
        <v/>
      </c>
      <c r="H129" s="23" t="n">
        <v>25</v>
      </c>
      <c r="I129" s="14">
        <f>IFERROR(IF(OR(SUM(D129*H129)=0,SUM(D129*H129)=""),"-",SUM(D129*H129)),"-")</f>
        <v/>
      </c>
      <c r="J129" s="14">
        <f>IFERROR(IF(OR(SUM(E129,F129,D129*H129)=0,SUM(E129,F129,D129*H129)=""),"-",SUM(E129,F129,D129*H129)),"-")</f>
        <v/>
      </c>
    </row>
    <row r="130">
      <c r="B130" s="3">
        <f>B94</f>
        <v/>
      </c>
      <c r="C130" s="13" t="n"/>
      <c r="D130" s="13" t="n"/>
      <c r="E130" s="13" t="n"/>
      <c r="F130" s="13" t="n"/>
      <c r="G130" s="14">
        <f>IF(OR(H58=0,H58=""),"-",H58)</f>
        <v/>
      </c>
      <c r="H130" s="23" t="n">
        <v>25</v>
      </c>
      <c r="I130" s="14">
        <f>IFERROR(IF(OR(SUM(D130*H130)=0,SUM(D130*H130)=""),"-",SUM(D130*H130)),"-")</f>
        <v/>
      </c>
      <c r="J130" s="14">
        <f>IFERROR(IF(OR(SUM(E130,F130,D130*H130)=0,SUM(E130,F130,D130*H130)=""),"-",SUM(E130,F130,D130*H130)),"-")</f>
        <v/>
      </c>
    </row>
    <row r="131">
      <c r="B131" s="3">
        <f>B95</f>
        <v/>
      </c>
      <c r="C131" s="13" t="n"/>
      <c r="D131" s="13" t="n"/>
      <c r="E131" s="13" t="n"/>
      <c r="F131" s="13" t="n"/>
      <c r="G131" s="14">
        <f>IF(OR(H59=0,H59=""),"-",H59)</f>
        <v/>
      </c>
      <c r="H131" s="23" t="n">
        <v>25</v>
      </c>
      <c r="I131" s="14">
        <f>IFERROR(IF(OR(SUM(D131*H131)=0,SUM(D131*H131)=""),"-",SUM(D131*H131)),"-")</f>
        <v/>
      </c>
      <c r="J131" s="14">
        <f>IFERROR(IF(OR(SUM(E131,F131,D131*H131)=0,SUM(E131,F131,D131*H131)=""),"-",SUM(E131,F131,D131*H131)),"-")</f>
        <v/>
      </c>
    </row>
    <row r="132" ht="16" customHeight="1">
      <c r="B132" s="3">
        <f>B96</f>
        <v/>
      </c>
      <c r="C132" s="13" t="n"/>
      <c r="D132" s="13" t="n"/>
      <c r="E132" s="13" t="n"/>
      <c r="F132" s="13" t="n"/>
      <c r="G132" s="14">
        <f>IF(OR(H60=0,H60=""),"-",H60)</f>
        <v/>
      </c>
      <c r="H132" s="23" t="n">
        <v>25</v>
      </c>
      <c r="I132" s="14">
        <f>IFERROR(IF(OR(SUM(D132*H132)=0,SUM(D132*H132)=""),"-",SUM(D132*H132)),"-")</f>
        <v/>
      </c>
      <c r="J132" s="14">
        <f>IFERROR(IF(OR(SUM(E132,F132,D132*H132)=0,SUM(E132,F132,D132*H132)=""),"-",SUM(E132,F132,D132*H132)),"-")</f>
        <v/>
      </c>
    </row>
    <row r="133">
      <c r="B133" s="3">
        <f>B97</f>
        <v/>
      </c>
      <c r="C133" s="13" t="n"/>
      <c r="D133" s="13" t="n"/>
      <c r="E133" s="13" t="n"/>
      <c r="F133" s="13" t="n"/>
      <c r="G133" s="14">
        <f>IF(OR(H61=0,H61=""),"-",H61)</f>
        <v/>
      </c>
      <c r="H133" s="23" t="n">
        <v>25</v>
      </c>
      <c r="I133" s="14">
        <f>IFERROR(IF(OR(SUM(D133*H133)=0,SUM(D133*H133)=""),"-",SUM(D133*H133)),"-")</f>
        <v/>
      </c>
      <c r="J133" s="14">
        <f>IFERROR(IF(OR(SUM(E133,F133,D133*H133)=0,SUM(E133,F133,D133*H133)=""),"-",SUM(E133,F133,D133*H133)),"-")</f>
        <v/>
      </c>
    </row>
    <row r="134">
      <c r="B134" s="3">
        <f>B98</f>
        <v/>
      </c>
      <c r="C134" s="13" t="n"/>
      <c r="D134" s="13" t="n"/>
      <c r="E134" s="13" t="n"/>
      <c r="F134" s="13" t="n"/>
      <c r="G134" s="14">
        <f>IF(OR(H62=0,H62=""),"-",H62)</f>
        <v/>
      </c>
      <c r="H134" s="23" t="n">
        <v>25</v>
      </c>
      <c r="I134" s="14">
        <f>IFERROR(IF(OR(SUM(D134*H134)=0,SUM(D134*H134)=""),"-",SUM(D134*H134)),"-")</f>
        <v/>
      </c>
      <c r="J134" s="14">
        <f>IFERROR(IF(OR(SUM(E134,F134,D134*H134)=0,SUM(E134,F134,D134*H134)=""),"-",SUM(E134,F134,D134*H134)),"-")</f>
        <v/>
      </c>
    </row>
    <row r="135">
      <c r="B135" s="3">
        <f>B99</f>
        <v/>
      </c>
      <c r="C135" s="13" t="n"/>
      <c r="D135" s="13" t="n"/>
      <c r="E135" s="13" t="n"/>
      <c r="F135" s="13" t="n"/>
      <c r="G135" s="14">
        <f>IF(OR(H63=0,H63=""),"-",H63)</f>
        <v/>
      </c>
      <c r="H135" s="23" t="n">
        <v>25</v>
      </c>
      <c r="I135" s="14">
        <f>IFERROR(IF(OR(SUM(D135*H135)=0,SUM(D135*H135)=""),"-",SUM(D135*H135)),"-")</f>
        <v/>
      </c>
      <c r="J135" s="14">
        <f>IFERROR(IF(OR(SUM(E135,F135,D135*H135)=0,SUM(E135,F135,D135*H135)=""),"-",SUM(E135,F135,D135*H135)),"-")</f>
        <v/>
      </c>
    </row>
    <row r="136" ht="16" customHeight="1">
      <c r="B136" s="3">
        <f>B100</f>
        <v/>
      </c>
      <c r="C136" s="13" t="n"/>
      <c r="D136" s="13" t="n"/>
      <c r="E136" s="13" t="n"/>
      <c r="F136" s="13" t="n"/>
      <c r="G136" s="14">
        <f>IF(OR(H64=0,H64=""),"-",H64)</f>
        <v/>
      </c>
      <c r="H136" s="23" t="n">
        <v>25</v>
      </c>
      <c r="I136" s="14">
        <f>IFERROR(IF(OR(SUM(D136*H136)=0,SUM(D136*H136)=""),"-",SUM(D136*H136)),"-")</f>
        <v/>
      </c>
      <c r="J136" s="14">
        <f>IFERROR(IF(OR(SUM(E136,F136,D136*H136)=0,SUM(E136,F136,D136*H136)=""),"-",SUM(E136,F136,D136*H136)),"-")</f>
        <v/>
      </c>
    </row>
    <row r="137">
      <c r="B137" s="3">
        <f>B101</f>
        <v/>
      </c>
      <c r="C137" s="13" t="n"/>
      <c r="D137" s="13" t="n"/>
      <c r="E137" s="13" t="n"/>
      <c r="F137" s="13" t="n"/>
      <c r="G137" s="14">
        <f>IF(OR(H65=0,H65=""),"-",H65)</f>
        <v/>
      </c>
      <c r="H137" s="23" t="n">
        <v>25</v>
      </c>
      <c r="I137" s="14">
        <f>IFERROR(IF(OR(SUM(D137*H137)=0,SUM(D137*H137)=""),"-",SUM(D137*H137)),"-")</f>
        <v/>
      </c>
      <c r="J137" s="14">
        <f>IFERROR(IF(OR(SUM(E137,F137,D137*H137)=0,SUM(E137,F137,D137*H137)=""),"-",SUM(E137,F137,D137*H137)),"-")</f>
        <v/>
      </c>
      <c r="L137" s="18" t="n"/>
      <c r="M137" s="18" t="n"/>
    </row>
    <row r="138">
      <c r="B138" s="3">
        <f>B102</f>
        <v/>
      </c>
      <c r="C138" s="13" t="n"/>
      <c r="D138" s="13" t="n"/>
      <c r="E138" s="13" t="n"/>
      <c r="F138" s="13" t="n"/>
      <c r="G138" s="14">
        <f>IF(OR(H66=0,H66=""),"-",H66)</f>
        <v/>
      </c>
      <c r="H138" s="23" t="n">
        <v>25</v>
      </c>
      <c r="I138" s="14">
        <f>IFERROR(IF(OR(SUM(D138*H138)=0,SUM(D138*H138)=""),"-",SUM(D138*H138)),"-")</f>
        <v/>
      </c>
      <c r="J138" s="14">
        <f>IFERROR(IF(OR(SUM(E138,F138,D138*H138)=0,SUM(E138,F138,D138*H138)=""),"-",SUM(E138,F138,D138*H138)),"-")</f>
        <v/>
      </c>
    </row>
    <row r="139">
      <c r="B139" s="3">
        <f>B103</f>
        <v/>
      </c>
      <c r="C139" s="13" t="n"/>
      <c r="D139" s="13" t="n"/>
      <c r="E139" s="13" t="n"/>
      <c r="F139" s="13" t="n"/>
      <c r="G139" s="14">
        <f>IF(OR(H67=0,H67=""),"-",H67)</f>
        <v/>
      </c>
      <c r="H139" s="23" t="n">
        <v>25</v>
      </c>
      <c r="I139" s="14">
        <f>IFERROR(IF(OR(SUM(D139*H139)=0,SUM(D139*H139)=""),"-",SUM(D139*H139)),"-")</f>
        <v/>
      </c>
      <c r="J139" s="14">
        <f>IFERROR(IF(OR(SUM(E139,F139,D139*H139)=0,SUM(E139,F139,D139*H139)=""),"-",SUM(E139,F139,D139*H139)),"-")</f>
        <v/>
      </c>
    </row>
    <row r="140" ht="16" customHeight="1">
      <c r="B140" s="3">
        <f>B104</f>
        <v/>
      </c>
      <c r="C140" s="13" t="n"/>
      <c r="D140" s="13" t="n"/>
      <c r="E140" s="13" t="n"/>
      <c r="F140" s="13" t="n"/>
      <c r="G140" s="14">
        <f>IF(OR(H68=0,H68=""),"-",H68)</f>
        <v/>
      </c>
      <c r="H140" s="23" t="n">
        <v>25</v>
      </c>
      <c r="I140" s="14">
        <f>IFERROR(IF(OR(SUM(D140*H140)=0,SUM(D140*H140)=""),"-",SUM(D140*H140)),"-")</f>
        <v/>
      </c>
      <c r="J140" s="14">
        <f>IFERROR(IF(OR(SUM(E140,F140,D140*H140)=0,SUM(E140,F140,D140*H140)=""),"-",SUM(E140,F140,D140*H140)),"-")</f>
        <v/>
      </c>
    </row>
    <row r="141">
      <c r="B141" s="3">
        <f>B105</f>
        <v/>
      </c>
      <c r="C141" s="13" t="n"/>
      <c r="D141" s="13" t="n"/>
      <c r="E141" s="13" t="n"/>
      <c r="F141" s="13" t="n"/>
      <c r="G141" s="14">
        <f>IF(OR(H69=0,H69=""),"-",H69)</f>
        <v/>
      </c>
      <c r="H141" s="23" t="n">
        <v>25</v>
      </c>
      <c r="I141" s="14">
        <f>IFERROR(IF(OR(SUM(D141*H141)=0,SUM(D141*H141)=""),"-",SUM(D141*H141)),"-")</f>
        <v/>
      </c>
      <c r="J141" s="14">
        <f>IFERROR(IF(OR(SUM(E141,F141,D141*H141)=0,SUM(E141,F141,D141*H141)=""),"-",SUM(E141,F141,D141*H141)),"-")</f>
        <v/>
      </c>
    </row>
    <row r="142">
      <c r="B142" s="3">
        <f>B106</f>
        <v/>
      </c>
      <c r="C142" s="13" t="n"/>
      <c r="D142" s="13" t="n"/>
      <c r="E142" s="13" t="n"/>
      <c r="F142" s="13" t="n"/>
      <c r="G142" s="14">
        <f>IF(OR(H70=0,H70=""),"-",H70)</f>
        <v/>
      </c>
      <c r="H142" s="23" t="n">
        <v>25</v>
      </c>
      <c r="I142" s="14">
        <f>IFERROR(IF(OR(SUM(D142*H142)=0,SUM(D142*H142)=""),"-",SUM(D142*H142)),"-")</f>
        <v/>
      </c>
      <c r="J142" s="14">
        <f>IFERROR(IF(OR(SUM(E142,F142,D142*H142)=0,SUM(E142,F142,D142*H142)=""),"-",SUM(E142,F142,D142*H142)),"-")</f>
        <v/>
      </c>
    </row>
    <row r="143">
      <c r="B143" s="3">
        <f>B107</f>
        <v/>
      </c>
      <c r="C143" s="13" t="n"/>
      <c r="D143" s="13" t="n"/>
      <c r="E143" s="13" t="n"/>
      <c r="F143" s="13" t="n"/>
      <c r="G143" s="14">
        <f>IF(OR(H71=0,H71=""),"-",H71)</f>
        <v/>
      </c>
      <c r="H143" s="23" t="n">
        <v>25</v>
      </c>
      <c r="I143" s="14">
        <f>IFERROR(IF(OR(SUM(D143*H143)=0,SUM(D143*H143)=""),"-",SUM(D143*H143)),"-")</f>
        <v/>
      </c>
      <c r="J143" s="14">
        <f>IFERROR(IF(OR(SUM(E143,F143,D143*H143)=0,SUM(E143,F143,D143*H143)=""),"-",SUM(E143,F143,D143*H143)),"-")</f>
        <v/>
      </c>
    </row>
    <row r="144" ht="16" customHeight="1">
      <c r="B144" s="3">
        <f>B108</f>
        <v/>
      </c>
      <c r="C144" s="13" t="n"/>
      <c r="D144" s="13" t="n"/>
      <c r="E144" s="13" t="n"/>
      <c r="F144" s="13" t="n"/>
      <c r="G144" s="14">
        <f>IF(OR(H72=0,H72=""),"-",H72)</f>
        <v/>
      </c>
      <c r="H144" s="23" t="n">
        <v>25</v>
      </c>
      <c r="I144" s="14">
        <f>IFERROR(IF(OR(SUM(D144*H144)=0,SUM(D144*H144)=""),"-",SUM(D144*H144)),"-")</f>
        <v/>
      </c>
      <c r="J144" s="14">
        <f>IFERROR(IF(OR(SUM(E144,F144,D144*H144)=0,SUM(E144,F144,D144*H144)=""),"-",SUM(E144,F144,D144*H144)),"-")</f>
        <v/>
      </c>
    </row>
    <row r="145">
      <c r="B145" s="3">
        <f>B109</f>
        <v/>
      </c>
      <c r="C145" s="13" t="n"/>
      <c r="D145" s="13" t="n"/>
      <c r="E145" s="13" t="n"/>
      <c r="F145" s="13" t="n"/>
      <c r="G145" s="14">
        <f>IF(OR(H73=0,H73=""),"-",H73)</f>
        <v/>
      </c>
      <c r="H145" s="23" t="n">
        <v>25</v>
      </c>
      <c r="I145" s="14">
        <f>IFERROR(IF(OR(SUM(D145*H145)=0,SUM(D145*H145)=""),"-",SUM(D145*H145)),"-")</f>
        <v/>
      </c>
      <c r="J145" s="14">
        <f>IFERROR(IF(OR(SUM(E145,F145,D145*H145)=0,SUM(E145,F145,D145*H145)=""),"-",SUM(E145,F145,D145*H145)),"-")</f>
        <v/>
      </c>
    </row>
    <row r="146">
      <c r="B146" s="3">
        <f>B110</f>
        <v/>
      </c>
      <c r="C146" s="13" t="n"/>
      <c r="D146" s="13" t="n"/>
      <c r="E146" s="13" t="n"/>
      <c r="F146" s="13" t="n"/>
      <c r="G146" s="14">
        <f>IF(OR(H74=0,H74=""),"-",H74)</f>
        <v/>
      </c>
      <c r="H146" s="23" t="n">
        <v>25</v>
      </c>
      <c r="I146" s="14">
        <f>IFERROR(IF(OR(SUM(D146*H146)=0,SUM(D146*H146)=""),"-",SUM(D146*H146)),"-")</f>
        <v/>
      </c>
      <c r="J146" s="14">
        <f>IFERROR(IF(OR(SUM(E146,F146,D146*H146)=0,SUM(E146,F146,D146*H146)=""),"-",SUM(E146,F146,D146*H146)),"-")</f>
        <v/>
      </c>
    </row>
    <row r="147">
      <c r="B147" s="3">
        <f>B111</f>
        <v/>
      </c>
      <c r="C147" s="13" t="n"/>
      <c r="D147" s="13" t="n"/>
      <c r="E147" s="13" t="n"/>
      <c r="F147" s="13" t="n"/>
      <c r="G147" s="14">
        <f>IF(OR(H75=0,H75=""),"-",H75)</f>
        <v/>
      </c>
      <c r="H147" s="23" t="n">
        <v>25</v>
      </c>
      <c r="I147" s="14">
        <f>IFERROR(IF(OR(SUM(D147*H147)=0,SUM(D147*H147)=""),"-",SUM(D147*H147)),"-")</f>
        <v/>
      </c>
      <c r="J147" s="14">
        <f>IFERROR(IF(OR(SUM(E147,F147,D147*H147)=0,SUM(E147,F147,D147*H147)=""),"-",SUM(E147,F147,D147*H147)),"-")</f>
        <v/>
      </c>
    </row>
    <row r="148" ht="16" customHeight="1">
      <c r="B148" s="3">
        <f>B112</f>
        <v/>
      </c>
      <c r="C148" s="13" t="n"/>
      <c r="D148" s="13" t="n"/>
      <c r="E148" s="13" t="n"/>
      <c r="F148" s="13" t="n"/>
      <c r="G148" s="14">
        <f>IF(OR(H76=0,H76=""),"-",H76)</f>
        <v/>
      </c>
      <c r="H148" s="23" t="n">
        <v>25</v>
      </c>
      <c r="I148" s="14">
        <f>IFERROR(IF(OR(SUM(D148*H148)=0,SUM(D148*H148)=""),"-",SUM(D148*H148)),"-")</f>
        <v/>
      </c>
      <c r="J148" s="14">
        <f>IFERROR(IF(OR(SUM(E148,F148,D148*H148)=0,SUM(E148,F148,D148*H148)=""),"-",SUM(E148,F148,D148*H148)),"-")</f>
        <v/>
      </c>
    </row>
    <row r="149">
      <c r="B149" s="3">
        <f>B113</f>
        <v/>
      </c>
      <c r="C149" s="13" t="n"/>
      <c r="D149" s="13" t="n"/>
      <c r="E149" s="13" t="n"/>
      <c r="F149" s="13" t="n"/>
      <c r="G149" s="14">
        <f>IF(OR(H77=0,H77=""),"-",H77)</f>
        <v/>
      </c>
      <c r="H149" s="23" t="n">
        <v>25</v>
      </c>
      <c r="I149" s="14">
        <f>IFERROR(IF(OR(SUM(D149*H149)=0,SUM(D149*H149)=""),"-",SUM(D149*H149)),"-")</f>
        <v/>
      </c>
      <c r="J149" s="14">
        <f>IFERROR(IF(OR(SUM(E149,F149,D149*H149)=0,SUM(E149,F149,D149*H149)=""),"-",SUM(E149,F149,D149*H149)),"-")</f>
        <v/>
      </c>
    </row>
    <row r="150">
      <c r="B150" s="3">
        <f>B114</f>
        <v/>
      </c>
      <c r="C150" s="13" t="n"/>
      <c r="D150" s="13" t="n"/>
      <c r="E150" s="13" t="n"/>
      <c r="F150" s="13" t="n"/>
      <c r="G150" s="14">
        <f>IF(OR(H78=0,H78=""),"-",H78)</f>
        <v/>
      </c>
      <c r="H150" s="23" t="n">
        <v>25</v>
      </c>
      <c r="I150" s="14">
        <f>IFERROR(IF(OR(SUM(D150*H150)=0,SUM(D150*H150)=""),"-",SUM(D150*H150)),"-")</f>
        <v/>
      </c>
      <c r="J150" s="14">
        <f>IFERROR(IF(OR(SUM(E150,F150,D150*H150)=0,SUM(E150,F150,D150*H150)=""),"-",SUM(E150,F150,D150*H150)),"-")</f>
        <v/>
      </c>
    </row>
    <row r="151">
      <c r="B151" s="3">
        <f>B115</f>
        <v/>
      </c>
      <c r="C151" s="13" t="n"/>
      <c r="D151" s="13" t="n"/>
      <c r="E151" s="13" t="n"/>
      <c r="F151" s="13" t="n"/>
      <c r="G151" s="14">
        <f>IF(OR(H79=0,H79=""),"-",H79)</f>
        <v/>
      </c>
      <c r="H151" s="23" t="n">
        <v>25</v>
      </c>
      <c r="I151" s="14">
        <f>IFERROR(IF(OR(SUM(D151*H151)=0,SUM(D151*H151)=""),"-",SUM(D151*H151)),"-")</f>
        <v/>
      </c>
      <c r="J151" s="14">
        <f>IFERROR(IF(OR(SUM(E151,F151,D151*H151)=0,SUM(E151,F151,D151*H151)=""),"-",SUM(E151,F151,D151*H151)),"-")</f>
        <v/>
      </c>
    </row>
    <row r="152" ht="16" customHeight="1">
      <c r="B152" s="3">
        <f>B116</f>
        <v/>
      </c>
      <c r="C152" s="13" t="n"/>
      <c r="D152" s="13" t="n"/>
      <c r="E152" s="13" t="n"/>
      <c r="F152" s="13" t="n"/>
      <c r="G152" s="14">
        <f>IF(OR(H80=0,H80=""),"-",H80)</f>
        <v/>
      </c>
      <c r="H152" s="23" t="n">
        <v>25</v>
      </c>
      <c r="I152" s="14">
        <f>IFERROR(IF(OR(SUM(D152*H152)=0,SUM(D152*H152)=""),"-",SUM(D152*H152)),"-")</f>
        <v/>
      </c>
      <c r="J152" s="14">
        <f>IFERROR(IF(OR(SUM(E152,F152,D152*H152)=0,SUM(E152,F152,D152*H152)=""),"-",SUM(E152,F152,D152*H152)),"-")</f>
        <v/>
      </c>
    </row>
    <row r="153">
      <c r="B153" s="3">
        <f>B117</f>
        <v/>
      </c>
      <c r="C153" s="13" t="n"/>
      <c r="D153" s="13" t="n"/>
      <c r="E153" s="13" t="n"/>
      <c r="F153" s="13" t="n"/>
      <c r="G153" s="14">
        <f>IF(OR(H81=0,H81=""),"-",H81)</f>
        <v/>
      </c>
      <c r="H153" s="23" t="n">
        <v>25</v>
      </c>
      <c r="I153" s="14">
        <f>IFERROR(IF(OR(SUM(D153*H153)=0,SUM(D153*H153)=""),"-",SUM(D153*H153)),"-")</f>
        <v/>
      </c>
      <c r="J153" s="14">
        <f>IFERROR(IF(OR(SUM(E153,F153,D153*H153)=0,SUM(E153,F153,D153*H153)=""),"-",SUM(E153,F153,D153*H153)),"-")</f>
        <v/>
      </c>
    </row>
    <row r="154">
      <c r="B154" s="3">
        <f>B118</f>
        <v/>
      </c>
      <c r="C154" s="13" t="n"/>
      <c r="D154" s="13" t="n"/>
      <c r="E154" s="13" t="n"/>
      <c r="F154" s="13" t="n"/>
      <c r="G154" s="14">
        <f>IF(OR(H82=0,H82=""),"-",H82)</f>
        <v/>
      </c>
      <c r="H154" s="23" t="n">
        <v>25</v>
      </c>
      <c r="I154" s="14">
        <f>IFERROR(IF(OR(SUM(D154*H154)=0,SUM(D154*H154)=""),"-",SUM(D154*H154)),"-")</f>
        <v/>
      </c>
      <c r="J154" s="14">
        <f>IFERROR(IF(OR(SUM(E154,F154,D154*H154)=0,SUM(E154,F154,D154*H154)=""),"-",SUM(E154,F154,D154*H154)),"-")</f>
        <v/>
      </c>
    </row>
    <row r="155">
      <c r="B155" s="3">
        <f>B119</f>
        <v/>
      </c>
      <c r="C155" s="13" t="n"/>
      <c r="D155" s="13" t="n"/>
      <c r="E155" s="13" t="n"/>
      <c r="F155" s="13" t="n"/>
      <c r="G155" s="14">
        <f>IF(OR(H83=0,H83=""),"-",H83)</f>
        <v/>
      </c>
      <c r="H155" s="23" t="n">
        <v>25</v>
      </c>
      <c r="I155" s="14">
        <f>IFERROR(IF(OR(SUM(D155*H155)=0,SUM(D155*H155)=""),"-",SUM(D155*H155)),"-")</f>
        <v/>
      </c>
      <c r="J155" s="14">
        <f>IFERROR(IF(OR(SUM(E155,F155,D155*H155)=0,SUM(E155,F155,D155*H155)=""),"-",SUM(E155,F155,D155*H155)),"-")</f>
        <v/>
      </c>
    </row>
    <row r="156" ht="16" customHeight="1">
      <c r="B156" s="3">
        <f>B120</f>
        <v/>
      </c>
      <c r="C156" s="13" t="n"/>
      <c r="D156" s="13" t="n"/>
      <c r="E156" s="13" t="n"/>
      <c r="F156" s="13" t="n"/>
      <c r="G156" s="14">
        <f>IF(OR(H84=0,H84=""),"-",H84)</f>
        <v/>
      </c>
      <c r="H156" s="23" t="n">
        <v>25</v>
      </c>
      <c r="I156" s="14">
        <f>IFERROR(IF(OR(SUM(D156*H156)=0,SUM(D156*H156)=""),"-",SUM(D156*H156)),"-")</f>
        <v/>
      </c>
      <c r="J156" s="14">
        <f>IFERROR(IF(OR(SUM(E156,F156,D156*H156)=0,SUM(E156,F156,D156*H156)=""),"-",SUM(E156,F156,D156*H156)),"-")</f>
        <v/>
      </c>
    </row>
    <row r="157">
      <c r="B157" s="3" t="inlineStr">
        <is>
          <t>Offshore Platform 1</t>
        </is>
      </c>
      <c r="C157" s="13" t="n"/>
      <c r="D157" s="13" t="n"/>
      <c r="E157" s="13" t="n"/>
      <c r="F157" s="13" t="n"/>
      <c r="G157" s="14">
        <f>IF(OR(H85=0,H85=""),"-",H85)</f>
        <v/>
      </c>
      <c r="H157" s="23" t="n">
        <v>25</v>
      </c>
      <c r="I157" s="14">
        <f>IFERROR(IF(OR(SUM(D157*H157)=0,SUM(D157*H157)=""),"-",SUM(D157*H157)),"-")</f>
        <v/>
      </c>
      <c r="J157" s="14">
        <f>IFERROR(IF(OR(SUM(E157,F157,D157*H157)=0,SUM(E157,F157,D157*H157)=""),"-",SUM(E157,F157,D157*H157)),"-")</f>
        <v/>
      </c>
    </row>
    <row r="158">
      <c r="B158" s="3" t="inlineStr">
        <is>
          <t>Offshore Platform 2</t>
        </is>
      </c>
      <c r="C158" s="13" t="n"/>
      <c r="D158" s="13" t="n"/>
      <c r="E158" s="13" t="n"/>
      <c r="F158" s="13" t="n"/>
      <c r="G158" s="14">
        <f>IF(OR(H86=0,H86=""),"-",H86)</f>
        <v/>
      </c>
      <c r="H158" s="23" t="n">
        <v>25</v>
      </c>
      <c r="I158" s="14">
        <f>IFERROR(IF(OR(SUM(D158*H158)=0,SUM(D158*H158)=""),"-",SUM(D158*H158)),"-")</f>
        <v/>
      </c>
      <c r="J158" s="14">
        <f>IFERROR(IF(OR(SUM(E158,F158,D158*H158)=0,SUM(E158,F158,D158*H158)=""),"-",SUM(E158,F158,D158*H158)),"-")</f>
        <v/>
      </c>
    </row>
    <row r="159">
      <c r="B159" s="3" t="inlineStr">
        <is>
          <t>Offshore Platform 3</t>
        </is>
      </c>
      <c r="C159" s="13" t="n"/>
      <c r="D159" s="13" t="n"/>
      <c r="E159" s="13" t="n"/>
      <c r="F159" s="13" t="n"/>
      <c r="G159" s="14">
        <f>IF(OR(H87=0,H87=""),"-",H87)</f>
        <v/>
      </c>
      <c r="H159" s="23" t="n">
        <v>25</v>
      </c>
      <c r="I159" s="14">
        <f>IFERROR(IF(OR(SUM(D159*H159)=0,SUM(D159*H159)=""),"-",SUM(D159*H159)),"-")</f>
        <v/>
      </c>
      <c r="J159" s="14">
        <f>IFERROR(IF(OR(SUM(E159,F159,D159*H159)=0,SUM(E159,F159,D159*H159)=""),"-",SUM(E159,F159,D159*H159)),"-")</f>
        <v/>
      </c>
    </row>
    <row r="160" ht="16" customHeight="1">
      <c r="B160" s="3" t="inlineStr">
        <is>
          <t>Offshore Platform 4</t>
        </is>
      </c>
      <c r="C160" s="13" t="n"/>
      <c r="D160" s="13" t="n"/>
      <c r="E160" s="13" t="n"/>
      <c r="F160" s="13" t="n"/>
      <c r="G160" s="14">
        <f>IF(OR(H88=0,H88=""),"-",H88)</f>
        <v/>
      </c>
      <c r="H160" s="23" t="n">
        <v>25</v>
      </c>
      <c r="I160" s="14">
        <f>IFERROR(IF(OR(SUM(D160*H160)=0,SUM(D160*H160)=""),"-",SUM(D160*H160)),"-")</f>
        <v/>
      </c>
      <c r="J160" s="14">
        <f>IFERROR(IF(OR(SUM(E160,F160,D160*H160)=0,SUM(E160,F160,D160*H160)=""),"-",SUM(E160,F160,D160*H160)),"-")</f>
        <v/>
      </c>
    </row>
    <row r="161">
      <c r="B161" s="24" t="inlineStr">
        <is>
          <t>Non-Asset related Opex 1</t>
        </is>
      </c>
      <c r="C161" s="13" t="n"/>
      <c r="D161" s="13" t="n"/>
      <c r="E161" s="13" t="n"/>
      <c r="F161" s="13" t="n"/>
      <c r="G161" s="13" t="n"/>
      <c r="H161" s="23" t="n">
        <v>25</v>
      </c>
      <c r="I161" s="14">
        <f>IFERROR(IF(OR(SUM(D161*H161)=0,SUM(D161*H161)=""),"-",SUM(D161*H161)),"-")</f>
        <v/>
      </c>
      <c r="J161" s="14">
        <f>IFERROR(IF(OR(SUM(E161,F161,D161*H161)=0,SUM(E161,F161,D161*H161)=""),"-",SUM(E161,F161,D161*H161)),"-")</f>
        <v/>
      </c>
    </row>
    <row r="162">
      <c r="B162" s="24" t="inlineStr">
        <is>
          <t>Non-Asset related Opex 2</t>
        </is>
      </c>
      <c r="C162" s="13" t="n"/>
      <c r="D162" s="13" t="n"/>
      <c r="E162" s="13" t="n"/>
      <c r="F162" s="13" t="n"/>
      <c r="G162" s="13" t="n"/>
      <c r="H162" s="23" t="n">
        <v>25</v>
      </c>
      <c r="I162" s="14">
        <f>IFERROR(IF(OR(SUM(D162*H162)=0,SUM(D162*H162)=""),"-",SUM(D162*H162)),"-")</f>
        <v/>
      </c>
      <c r="J162" s="14">
        <f>IFERROR(IF(OR(SUM(E162,F162,D162*H162)=0,SUM(E162,F162,D162*H162)=""),"-",SUM(E162,F162,D162*H162)),"-")</f>
        <v/>
      </c>
    </row>
    <row r="163">
      <c r="B163" s="24" t="inlineStr">
        <is>
          <t>Non-Asset related Opex 3</t>
        </is>
      </c>
      <c r="C163" s="13" t="n"/>
      <c r="D163" s="13" t="n"/>
      <c r="E163" s="13" t="n"/>
      <c r="F163" s="13" t="n"/>
      <c r="G163" s="13" t="n"/>
      <c r="H163" s="23" t="n">
        <v>25</v>
      </c>
      <c r="I163" s="14">
        <f>IFERROR(IF(OR(SUM(D163*H163)=0,SUM(D163*H163)=""),"-",SUM(D163*H163)),"-")</f>
        <v/>
      </c>
      <c r="J163" s="14">
        <f>IFERROR(IF(OR(SUM(E163,F163,D163*H163)=0,SUM(E163,F163,D163*H163)=""),"-",SUM(E163,F163,D163*H163)),"-")</f>
        <v/>
      </c>
    </row>
    <row r="164" ht="16" customHeight="1">
      <c r="B164" s="24" t="inlineStr">
        <is>
          <t>Non-Asset related Opex 4</t>
        </is>
      </c>
      <c r="C164" s="13" t="n"/>
      <c r="D164" s="13" t="n"/>
      <c r="E164" s="13" t="n"/>
      <c r="F164" s="13" t="n"/>
      <c r="G164" s="13" t="n"/>
      <c r="H164" s="23" t="n">
        <v>25</v>
      </c>
      <c r="I164" s="14">
        <f>IFERROR(IF(OR(SUM(D164*H164)=0,SUM(D164*H164)=""),"-",SUM(D164*H164)),"-")</f>
        <v/>
      </c>
      <c r="J164" s="14">
        <f>IFERROR(IF(OR(SUM(E164,F164,D164*H164)=0,SUM(E164,F164,D164*H164)=""),"-",SUM(E164,F164,D164*H164)),"-")</f>
        <v/>
      </c>
    </row>
    <row r="165">
      <c r="B16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2026-05-04T14:17:26Z</dcterms:created>
  <dcterms:modified xsi:type="dcterms:W3CDTF">2026-05-04T14:17:26Z</dcterms:modified>
</cp:coreProperties>
</file>