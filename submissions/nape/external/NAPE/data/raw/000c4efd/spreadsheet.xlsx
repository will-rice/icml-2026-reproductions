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theme="1"/>
      <sz val="11"/>
      <scheme val="minor"/>
    </font>
    <font>
      <name val="Times New Roman"/>
      <b val="1"/>
    </font>
    <font>
      <name val="Times New Roman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bottom style="thin"/>
    </border>
    <border>
      <bottom style="double">
        <color rgb="00000000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  <border>
      <left/>
      <right/>
      <top/>
      <bottom style="double">
        <color rgb="00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43" fontId="2" fillId="0" borderId="0" pivotButton="0" quotePrefix="0" xfId="0"/>
    <xf numFmtId="43" fontId="2" fillId="0" borderId="0" applyAlignment="1" pivotButton="0" quotePrefix="0" xfId="0">
      <alignment horizontal="center"/>
    </xf>
    <xf numFmtId="2" fontId="2" fillId="0" borderId="0" pivotButton="0" quotePrefix="0" xfId="0"/>
    <xf numFmtId="43" fontId="2" fillId="0" borderId="1" pivotButton="0" quotePrefix="0" xfId="0"/>
    <xf numFmtId="164" fontId="2" fillId="0" borderId="1" pivotButton="0" quotePrefix="0" xfId="0"/>
    <xf numFmtId="164" fontId="2" fillId="0" borderId="0" pivotButton="0" quotePrefix="0" xfId="0"/>
    <xf numFmtId="164" fontId="1" fillId="0" borderId="0" pivotButton="0" quotePrefix="0" xfId="0"/>
    <xf numFmtId="0" fontId="2" fillId="0" borderId="0" applyAlignment="1" pivotButton="0" quotePrefix="0" xfId="0">
      <alignment wrapText="1"/>
    </xf>
    <xf numFmtId="43" fontId="1" fillId="0" borderId="0" pivotButton="0" quotePrefix="0" xfId="0"/>
    <xf numFmtId="43" fontId="1" fillId="0" borderId="0" applyAlignment="1" pivotButton="0" quotePrefix="0" xfId="0">
      <alignment horizontal="center"/>
    </xf>
    <xf numFmtId="43" fontId="1" fillId="0" borderId="2" pivotButton="0" quotePrefix="0" xfId="0"/>
    <xf numFmtId="164" fontId="1" fillId="0" borderId="2" pivotButton="0" quotePrefix="0" xfId="0"/>
    <xf numFmtId="43" fontId="2" fillId="0" borderId="3" pivotButton="0" quotePrefix="0" xfId="0"/>
    <xf numFmtId="0" fontId="2" fillId="0" borderId="1" pivotButton="0" quotePrefix="0" xfId="0"/>
    <xf numFmtId="43" fontId="1" fillId="0" borderId="4" pivotButton="0" quotePrefix="0" xfId="0"/>
    <xf numFmtId="43" fontId="2" fillId="0" borderId="2" pivotButton="0" quotePrefix="0" xfId="0"/>
    <xf numFmtId="43" fontId="2" fillId="0" borderId="2" applyAlignment="1" pivotButton="0" quotePrefix="0" xfId="0">
      <alignment horizontal="center"/>
    </xf>
    <xf numFmtId="4" fontId="2" fillId="0" borderId="0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4" fontId="2" fillId="0" borderId="2" pivotButton="0" quotePrefix="0" xfId="0"/>
    <xf numFmtId="4" fontId="3" fillId="0" borderId="2" applyAlignment="1" pivotButton="0" quotePrefix="0" xfId="0">
      <alignment horizontal="right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ColWidth="9.140625" defaultRowHeight="15.75"/>
  <cols>
    <col width="4.5703125" customWidth="1" min="1" max="1"/>
    <col width="27.140625" customWidth="1" min="2" max="2"/>
    <col width="29.5703125" customWidth="1" min="3" max="3"/>
    <col width="4.140625" customWidth="1" min="4" max="4"/>
    <col width="18.140625" customWidth="1" min="5" max="5"/>
    <col width="18" customWidth="1" min="6" max="6"/>
    <col width="3.42578125" customWidth="1" min="7" max="7"/>
    <col width="20.42578125" customWidth="1" min="8" max="8"/>
    <col width="21.140625" customWidth="1" min="9" max="9"/>
    <col width="9.140625" customWidth="1" min="11" max="11"/>
    <col width="11.85546875" bestFit="1" customWidth="1" min="13" max="13"/>
    <col width="11.42578125" customWidth="1" min="14" max="14"/>
    <col width="12" customWidth="1" min="15" max="15"/>
    <col width="9.140625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2" t="inlineStr">
        <is>
          <t>WAGE ORDER NO. RB XI-21</t>
        </is>
      </c>
      <c r="J2" s="1" t="n"/>
      <c r="K2" s="1" t="n"/>
      <c r="L2" s="1" t="n"/>
      <c r="M2" s="1" t="n"/>
      <c r="N2" s="1" t="n"/>
      <c r="O2" s="1" t="n"/>
      <c r="P2" s="1" t="n"/>
    </row>
    <row r="3">
      <c r="A3" s="3" t="inlineStr">
        <is>
          <t>Davao Region</t>
        </is>
      </c>
      <c r="J3" s="1" t="n"/>
      <c r="K3" s="1" t="n"/>
      <c r="L3" s="1" t="n"/>
      <c r="M3" s="1" t="n"/>
      <c r="N3" s="1" t="n"/>
      <c r="O3" s="1" t="n"/>
      <c r="P3" s="1" t="n"/>
    </row>
    <row r="4">
      <c r="A4" s="3" t="inlineStr">
        <is>
          <t>Effective on 19 June 2022</t>
        </is>
      </c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8" customHeight="1">
      <c r="A6" s="1" t="n"/>
      <c r="B6" s="1" t="n"/>
      <c r="C6" s="1" t="n"/>
      <c r="D6" s="1" t="n"/>
      <c r="E6" s="2" t="inlineStr">
        <is>
          <t>Toril - 8 hours</t>
        </is>
      </c>
      <c r="G6" s="2" t="n"/>
      <c r="H6" s="2" t="inlineStr">
        <is>
          <t>Toril -12 hours</t>
        </is>
      </c>
      <c r="K6" s="1" t="n"/>
      <c r="L6" s="1" t="n"/>
      <c r="M6" s="1" t="n"/>
      <c r="N6" s="1" t="n"/>
      <c r="O6" s="1" t="n"/>
      <c r="P6" s="1" t="n"/>
    </row>
    <row r="7" ht="18" customHeight="1">
      <c r="A7" s="1" t="inlineStr">
        <is>
          <t>Days worked per week</t>
        </is>
      </c>
      <c r="B7" s="1" t="n"/>
      <c r="C7" s="1" t="n"/>
      <c r="D7" s="1" t="n"/>
      <c r="E7" s="3" t="inlineStr">
        <is>
          <t>6 days</t>
        </is>
      </c>
      <c r="F7" s="3" t="inlineStr">
        <is>
          <t>6 days</t>
        </is>
      </c>
      <c r="G7" s="1" t="n"/>
      <c r="H7" s="3" t="inlineStr">
        <is>
          <t>6 days</t>
        </is>
      </c>
      <c r="I7" s="3" t="inlineStr">
        <is>
          <t>6 days</t>
        </is>
      </c>
      <c r="J7" s="3" t="inlineStr">
        <is>
          <t>6 days</t>
        </is>
      </c>
      <c r="K7" s="1" t="n"/>
      <c r="L7" s="1" t="n"/>
      <c r="M7" s="1" t="n"/>
      <c r="N7" s="1" t="n"/>
      <c r="O7" s="1" t="n"/>
      <c r="P7" s="1" t="n"/>
    </row>
    <row r="8" ht="18" customHeight="1">
      <c r="A8" s="1" t="inlineStr">
        <is>
          <t>No. of Days/year</t>
        </is>
      </c>
      <c r="B8" s="1" t="n"/>
      <c r="C8" s="1" t="n"/>
      <c r="D8" s="1" t="n"/>
      <c r="E8" s="3" t="n">
        <v>313</v>
      </c>
      <c r="F8" s="3" t="n">
        <v>313</v>
      </c>
      <c r="G8" s="1" t="n"/>
      <c r="H8" s="3" t="n">
        <v>313</v>
      </c>
      <c r="I8" s="3" t="n">
        <v>313</v>
      </c>
      <c r="J8" s="3" t="n">
        <v>313</v>
      </c>
      <c r="K8" s="1" t="n"/>
      <c r="L8" s="1" t="n"/>
      <c r="M8" s="1" t="n"/>
      <c r="N8" s="1" t="n"/>
      <c r="O8" s="1" t="n"/>
      <c r="P8" s="1" t="n"/>
    </row>
    <row r="9" ht="18" customHeight="1">
      <c r="A9" s="1" t="n"/>
      <c r="B9" s="1" t="n"/>
      <c r="C9" s="1" t="n"/>
      <c r="D9" s="1" t="n"/>
      <c r="E9" s="3" t="inlineStr">
        <is>
          <t>8 hours work/day</t>
        </is>
      </c>
      <c r="F9" s="3" t="inlineStr">
        <is>
          <t>8 hours work/day</t>
        </is>
      </c>
      <c r="G9" s="1" t="n"/>
      <c r="H9" s="3" t="inlineStr">
        <is>
          <t>8 hours work/day</t>
        </is>
      </c>
      <c r="I9" s="3" t="inlineStr">
        <is>
          <t>8 hours work/day</t>
        </is>
      </c>
      <c r="J9" s="3" t="inlineStr">
        <is>
          <t>8 hours work/day</t>
        </is>
      </c>
      <c r="K9" s="1" t="n"/>
      <c r="L9" s="1" t="n"/>
      <c r="M9" s="1" t="n"/>
      <c r="N9" s="1" t="n"/>
      <c r="O9" s="1" t="n"/>
      <c r="P9" s="1" t="n"/>
    </row>
    <row r="10" ht="18" customHeight="1">
      <c r="A10" s="1" t="n"/>
      <c r="B10" s="1" t="n"/>
      <c r="C10" s="1" t="n"/>
      <c r="D10" s="1" t="n"/>
      <c r="E10" s="3" t="inlineStr">
        <is>
          <t>Day Shift</t>
        </is>
      </c>
      <c r="F10" s="3" t="inlineStr">
        <is>
          <t>Night Shift</t>
        </is>
      </c>
      <c r="G10" s="1" t="n"/>
      <c r="H10" s="3" t="inlineStr">
        <is>
          <t>Day Shift</t>
        </is>
      </c>
      <c r="I10" s="3" t="inlineStr">
        <is>
          <t>Night Shift</t>
        </is>
      </c>
      <c r="J10" s="3" t="inlineStr">
        <is>
          <t>Relievers</t>
        </is>
      </c>
      <c r="K10" s="1" t="n"/>
      <c r="L10" s="1" t="n"/>
      <c r="M10" s="1" t="n"/>
      <c r="N10" s="1" t="n"/>
      <c r="O10" s="1" t="n"/>
      <c r="P10" s="1" t="n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 ht="18" customHeight="1">
      <c r="A12" s="4" t="inlineStr">
        <is>
          <t>Amount to Guard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 ht="18" customHeight="1">
      <c r="A13" s="1" t="inlineStr">
        <is>
          <t>Daily Wage (DW)</t>
        </is>
      </c>
      <c r="B13" s="1" t="n"/>
      <c r="C13" s="1" t="n"/>
      <c r="D13" s="3" t="inlineStr">
        <is>
          <t>P</t>
        </is>
      </c>
      <c r="E13" s="5" t="n">
        <v>443</v>
      </c>
      <c r="F13" s="5" t="n">
        <v>443</v>
      </c>
      <c r="G13" s="3" t="inlineStr">
        <is>
          <t>P</t>
        </is>
      </c>
      <c r="H13" s="5" t="n">
        <v>443</v>
      </c>
      <c r="I13" s="5" t="n">
        <v>443</v>
      </c>
      <c r="J13" s="5" t="n">
        <v>443</v>
      </c>
      <c r="K13" s="1" t="n"/>
      <c r="L13" s="1" t="n"/>
      <c r="M13" s="1" t="n"/>
      <c r="N13" s="1" t="n"/>
      <c r="O13" s="1" t="n"/>
      <c r="P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" t="inlineStr">
        <is>
          <t>Ave. Pay/Month (DW x No. of Days per yr/12)</t>
        </is>
      </c>
      <c r="B15" s="1" t="n"/>
      <c r="C15" s="1" t="n"/>
      <c r="D15" s="1" t="n"/>
      <c r="E15" s="5">
        <f>ROUND((E13*E8/12),2)</f>
        <v/>
      </c>
      <c r="F15" s="5">
        <f>ROUND((F13*F8/12),2)</f>
        <v/>
      </c>
      <c r="G15" s="6" t="n"/>
      <c r="H15" s="5">
        <f>ROUND((H13*H8/12),2)</f>
        <v/>
      </c>
      <c r="I15" s="5">
        <f>ROUND((I13*I8/12),2)</f>
        <v/>
      </c>
      <c r="J15" s="5">
        <f>ROUND((J13*J8/12),2)</f>
        <v/>
      </c>
      <c r="K15" s="1" t="n"/>
      <c r="L15" s="1" t="n"/>
      <c r="M15" s="1" t="n"/>
      <c r="N15" s="1" t="n"/>
      <c r="O15" s="1" t="n"/>
      <c r="P15" s="1" t="n"/>
    </row>
    <row r="16" ht="19.5" customHeight="1">
      <c r="A16" s="1" t="inlineStr">
        <is>
          <t>Night Differential  (Ave. Pay/mo. X 10% x 1/3)</t>
        </is>
      </c>
      <c r="B16" s="1" t="n"/>
      <c r="C16" s="1" t="n"/>
      <c r="D16" s="1" t="n"/>
      <c r="E16" s="5" t="n">
        <v>0</v>
      </c>
      <c r="F16" s="5">
        <f>ROUND(+F15*10%*1/3,2)</f>
        <v/>
      </c>
      <c r="G16" s="6" t="n"/>
      <c r="H16" s="5" t="n">
        <v>0</v>
      </c>
      <c r="I16" s="5">
        <f>ROUND(+I15*10%*1/3,2)</f>
        <v/>
      </c>
      <c r="J16" s="5">
        <f>ROUND(+J15*10%*1/3,2)</f>
        <v/>
      </c>
      <c r="K16" s="1" t="n"/>
      <c r="L16" s="1" t="n"/>
      <c r="M16" s="1" t="n"/>
      <c r="N16" s="1" t="n"/>
      <c r="O16" s="1" t="n"/>
      <c r="P16" s="1" t="n"/>
    </row>
    <row r="17" ht="18" customHeight="1">
      <c r="A17" s="1" t="inlineStr">
        <is>
          <t>13 Month Pay  (DW X 365 /12 /12 )</t>
        </is>
      </c>
      <c r="B17" s="1" t="n"/>
      <c r="C17" s="1" t="n"/>
      <c r="D17" s="1" t="n"/>
      <c r="E17" s="5">
        <f>ROUND((E13*365/12/12),2)</f>
        <v/>
      </c>
      <c r="F17" s="5">
        <f>ROUND((F13*365/12/12),2)</f>
        <v/>
      </c>
      <c r="G17" s="6" t="n"/>
      <c r="H17" s="5">
        <f>ROUND((H13*365/12/12),2)</f>
        <v/>
      </c>
      <c r="I17" s="5">
        <f>ROUND((I13*365/12/12),2)</f>
        <v/>
      </c>
      <c r="J17" s="5">
        <f>ROUND((J13*365/12/12),2)</f>
        <v/>
      </c>
      <c r="K17" s="1" t="n"/>
      <c r="L17" s="1" t="n"/>
      <c r="M17" s="1" t="n"/>
      <c r="N17" s="1" t="n"/>
      <c r="O17" s="1" t="n"/>
      <c r="P17" s="1" t="n"/>
    </row>
    <row r="18" ht="18" customHeight="1">
      <c r="A18" s="1" t="inlineStr">
        <is>
          <t>5 Days Incentive Pay  (DW x 5 / 12)</t>
        </is>
      </c>
      <c r="B18" s="1" t="n"/>
      <c r="C18" s="1" t="n"/>
      <c r="D18" s="1" t="n"/>
      <c r="E18" s="5">
        <f>ROUND(E13*(5/12),2)</f>
        <v/>
      </c>
      <c r="F18" s="5">
        <f>ROUND(F13*(5/12),2)</f>
        <v/>
      </c>
      <c r="G18" s="6" t="n"/>
      <c r="H18" s="5">
        <f>ROUND(H13*(5/12),2)</f>
        <v/>
      </c>
      <c r="I18" s="5">
        <f>ROUND(I13*(5/12),2)</f>
        <v/>
      </c>
      <c r="J18" s="5">
        <f>ROUND(J13*(5/12),2)</f>
        <v/>
      </c>
      <c r="K18" s="1" t="n"/>
      <c r="L18" s="1" t="n"/>
      <c r="M18" s="1" t="n"/>
      <c r="N18" s="1" t="n"/>
      <c r="O18" s="1" t="n"/>
      <c r="P18" s="1" t="n"/>
    </row>
    <row r="19" ht="18" customHeight="1">
      <c r="A19" s="1" t="inlineStr">
        <is>
          <t>Uniform Allowance (R.A. 5487)</t>
        </is>
      </c>
      <c r="B19" s="1" t="n"/>
      <c r="C19" s="1" t="n"/>
      <c r="D19" s="1" t="n"/>
      <c r="E19" s="5" t="n">
        <v>100</v>
      </c>
      <c r="F19" s="5" t="n">
        <v>100</v>
      </c>
      <c r="G19" s="6" t="n"/>
      <c r="H19" s="7" t="n">
        <v>100</v>
      </c>
      <c r="I19" s="5" t="n">
        <v>100</v>
      </c>
      <c r="J19" s="5" t="n">
        <v>100</v>
      </c>
      <c r="K19" s="1" t="n"/>
      <c r="L19" s="1" t="n"/>
      <c r="M19" s="1" t="n"/>
      <c r="N19" s="1" t="n"/>
      <c r="O19" s="1" t="n"/>
      <c r="P19" s="1" t="n"/>
    </row>
    <row r="20" ht="21" customHeight="1">
      <c r="A20" s="1" t="inlineStr">
        <is>
          <t>Overtime Pay</t>
        </is>
      </c>
      <c r="B20" s="1" t="n"/>
      <c r="C20" s="1" t="n"/>
      <c r="D20" s="1" t="n"/>
      <c r="E20" s="8" t="n">
        <v>0</v>
      </c>
      <c r="F20" s="8">
        <f>0*377/12</f>
        <v/>
      </c>
      <c r="G20" s="6" t="n"/>
      <c r="H20" s="9" t="n"/>
      <c r="I20" s="9" t="n"/>
      <c r="J20" s="9" t="n"/>
      <c r="K20" s="1" t="n"/>
      <c r="L20" s="1" t="n"/>
      <c r="M20" s="1" t="n"/>
      <c r="N20" s="1" t="n"/>
      <c r="O20" s="1" t="n"/>
      <c r="P20" s="1" t="n"/>
    </row>
    <row r="21" ht="18" customHeight="1">
      <c r="A21" s="1" t="n"/>
      <c r="B21" s="1" t="n"/>
      <c r="C21" s="1" t="n"/>
      <c r="D21" s="1" t="n"/>
      <c r="E21" s="5">
        <f>SUM(E15:E20)</f>
        <v/>
      </c>
      <c r="F21" s="5">
        <f>ROUND(SUM(F15:F20),2)</f>
        <v/>
      </c>
      <c r="G21" s="6" t="n"/>
      <c r="H21" s="5">
        <f>ROUND(SUM(H15:H20),2)</f>
        <v/>
      </c>
      <c r="I21" s="5">
        <f>ROUND(SUM(I15:I20),2)</f>
        <v/>
      </c>
      <c r="J21" s="5">
        <f>ROUND(SUM(J15:J20),2)</f>
        <v/>
      </c>
      <c r="K21" s="1" t="n"/>
      <c r="L21" s="1" t="n"/>
      <c r="M21" s="10" t="n"/>
      <c r="N21" s="10" t="n"/>
      <c r="O21" s="10" t="n"/>
      <c r="P21" s="1" t="n"/>
    </row>
    <row r="22" ht="18" customHeight="1">
      <c r="A22" s="1" t="n"/>
      <c r="B22" s="1" t="n"/>
      <c r="C22" s="1" t="n"/>
      <c r="D22" s="1" t="n"/>
      <c r="E22" s="5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8" customHeight="1">
      <c r="A23" s="4" t="inlineStr">
        <is>
          <t>Amount to Government in Favor of Guards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8" customHeight="1">
      <c r="A24" s="1" t="inlineStr">
        <is>
          <t>Retirement Benefit (RA 7641) (DW x 22.5/12)</t>
        </is>
      </c>
      <c r="B24" s="1" t="n"/>
      <c r="C24" s="1" t="n"/>
      <c r="D24" s="1" t="n"/>
      <c r="E24" s="5">
        <f>+E13*22.5/12</f>
        <v/>
      </c>
      <c r="F24" s="5">
        <f>+F13*22.5/12</f>
        <v/>
      </c>
      <c r="G24" s="6" t="n"/>
      <c r="H24" s="5">
        <f>ROUND(+H13*22.5/12,2)</f>
        <v/>
      </c>
      <c r="I24" s="5">
        <f>ROUND(+I13*22.5/12,2)</f>
        <v/>
      </c>
      <c r="J24" s="5">
        <f>ROUND(+J13*22.5/12,2)</f>
        <v/>
      </c>
      <c r="K24" s="1" t="n"/>
      <c r="L24" s="1" t="n"/>
      <c r="M24" s="1" t="n"/>
      <c r="N24" s="1" t="n"/>
      <c r="O24" s="1" t="n"/>
      <c r="P24" s="1" t="n"/>
    </row>
    <row r="25" ht="18" customHeight="1">
      <c r="A25" s="1" t="inlineStr">
        <is>
          <t>SSS Premium (effective January 2023)</t>
        </is>
      </c>
      <c r="B25" s="1" t="n"/>
      <c r="C25" s="1" t="n"/>
      <c r="D25" s="1" t="n"/>
      <c r="E25" s="5" t="n">
        <v>1140</v>
      </c>
      <c r="F25" s="5" t="n">
        <v>1140</v>
      </c>
      <c r="G25" s="6" t="n"/>
      <c r="H25" s="5" t="n">
        <v>1140</v>
      </c>
      <c r="I25" s="5" t="n">
        <v>1140</v>
      </c>
      <c r="J25" s="5" t="n">
        <v>1140</v>
      </c>
      <c r="K25" s="1" t="n"/>
      <c r="L25" s="1" t="n"/>
      <c r="M25" s="1" t="n"/>
      <c r="N25" s="1" t="n"/>
      <c r="O25" s="1" t="n"/>
      <c r="P25" s="1" t="n"/>
    </row>
    <row r="26" ht="18" customHeight="1">
      <c r="A26" s="1" t="inlineStr">
        <is>
          <t>SSS WISP</t>
        </is>
      </c>
      <c r="B26" s="1" t="n"/>
      <c r="C26" s="1" t="n"/>
      <c r="D26" s="1" t="n"/>
      <c r="E26" s="5" t="n">
        <v>0</v>
      </c>
      <c r="F26" s="5" t="n">
        <v>0</v>
      </c>
      <c r="G26" s="6" t="n"/>
      <c r="H26" s="5" t="n">
        <v>0</v>
      </c>
      <c r="I26" s="5" t="n">
        <v>0</v>
      </c>
      <c r="J26" s="5" t="n">
        <v>0</v>
      </c>
      <c r="K26" s="1" t="n"/>
      <c r="L26" s="1" t="n"/>
      <c r="M26" s="1" t="n"/>
      <c r="N26" s="1" t="n"/>
      <c r="O26" s="1" t="n"/>
      <c r="P26" s="1" t="n"/>
    </row>
    <row r="27" ht="18" customHeight="1">
      <c r="A27" s="1" t="inlineStr">
        <is>
          <t>Philhealth Contribution (PHIC Circular 2020-0005)</t>
        </is>
      </c>
      <c r="B27" s="1" t="n"/>
      <c r="C27" s="1" t="n"/>
      <c r="D27" s="1" t="n"/>
      <c r="E27" s="5">
        <f>(E15*0.05)/2</f>
        <v/>
      </c>
      <c r="F27" s="5">
        <f>(F15*0.05)/2</f>
        <v/>
      </c>
      <c r="G27" s="6" t="n"/>
      <c r="H27" s="5">
        <f>ROUND((H15*0.05/2),2)</f>
        <v/>
      </c>
      <c r="I27" s="5">
        <f>ROUND((I15*0.05/2),2)</f>
        <v/>
      </c>
      <c r="J27" s="5">
        <f>ROUND((J15*0.05/2),2)</f>
        <v/>
      </c>
      <c r="K27" s="1" t="n"/>
      <c r="L27" s="1" t="n"/>
      <c r="M27" s="1" t="n"/>
      <c r="N27" s="1" t="n"/>
      <c r="O27" s="1" t="n"/>
      <c r="P27" s="1" t="n"/>
    </row>
    <row r="28" ht="18" customHeight="1">
      <c r="A28" s="1" t="inlineStr">
        <is>
          <t>State Insurance Fund</t>
        </is>
      </c>
      <c r="B28" s="1" t="n"/>
      <c r="C28" s="1" t="n"/>
      <c r="D28" s="1" t="n"/>
      <c r="E28" s="5" t="n">
        <v>10</v>
      </c>
      <c r="F28" s="5" t="n">
        <v>10</v>
      </c>
      <c r="G28" s="6" t="n"/>
      <c r="H28" s="5" t="n">
        <v>10</v>
      </c>
      <c r="I28" s="5" t="n">
        <v>10</v>
      </c>
      <c r="J28" s="5" t="n">
        <v>10</v>
      </c>
      <c r="K28" s="1" t="n"/>
      <c r="L28" s="1" t="n"/>
      <c r="M28" s="1" t="n"/>
      <c r="N28" s="1" t="n"/>
      <c r="O28" s="1" t="n"/>
      <c r="P28" s="1" t="n"/>
    </row>
    <row r="29" ht="18" customHeight="1">
      <c r="A29" s="1" t="inlineStr">
        <is>
          <t>Pag-ibig Fund</t>
        </is>
      </c>
      <c r="B29" s="1" t="n"/>
      <c r="C29" s="1" t="n"/>
      <c r="D29" s="1" t="n"/>
      <c r="E29" s="8" t="n">
        <v>100</v>
      </c>
      <c r="F29" s="8" t="n">
        <v>100</v>
      </c>
      <c r="G29" s="6" t="n"/>
      <c r="H29" s="8" t="n">
        <v>100</v>
      </c>
      <c r="I29" s="8" t="n">
        <v>100</v>
      </c>
      <c r="J29" s="8" t="n">
        <v>100</v>
      </c>
      <c r="K29" s="1" t="n"/>
      <c r="L29" s="1" t="n"/>
      <c r="M29" s="1" t="n"/>
      <c r="N29" s="1" t="n"/>
      <c r="O29" s="1" t="n"/>
      <c r="P29" s="1" t="n"/>
    </row>
    <row r="30" ht="18" customHeight="1">
      <c r="A30" s="1" t="n"/>
      <c r="B30" s="1" t="n"/>
      <c r="C30" s="1" t="n"/>
      <c r="D30" s="1" t="n"/>
      <c r="E30" s="5">
        <f>SUM(E24:E29)</f>
        <v/>
      </c>
      <c r="F30" s="5">
        <f>SUM(F24:F29)</f>
        <v/>
      </c>
      <c r="G30" s="6" t="n"/>
      <c r="H30" s="5">
        <f>ROUND(SUM(H24:H29),2)</f>
        <v/>
      </c>
      <c r="I30" s="5">
        <f>ROUND(SUM(I24:I29),2)</f>
        <v/>
      </c>
      <c r="J30" s="5">
        <f>ROUND(SUM(J24:J29),2)</f>
        <v/>
      </c>
      <c r="K30" s="1" t="n"/>
      <c r="L30" s="1" t="n"/>
      <c r="M30" s="1" t="n"/>
      <c r="N30" s="1" t="n"/>
      <c r="O30" s="1" t="n"/>
      <c r="P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8" customHeight="1">
      <c r="A32" s="1" t="n"/>
      <c r="B32" s="1" t="n"/>
      <c r="C32" s="1" t="n"/>
      <c r="D32" s="1" t="n"/>
      <c r="E32" s="4" t="n"/>
      <c r="F32" s="4" t="n"/>
      <c r="G32" s="2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8" customHeight="1">
      <c r="A33" s="4" t="inlineStr">
        <is>
          <t>A. TOTAL AMOUNT TO GUARD &amp; GOV'T.</t>
        </is>
      </c>
      <c r="B33" s="1" t="n"/>
      <c r="C33" s="1" t="n"/>
      <c r="D33" s="3" t="inlineStr">
        <is>
          <t>P</t>
        </is>
      </c>
      <c r="E33" s="11">
        <f>+E21+E30</f>
        <v/>
      </c>
      <c r="F33" s="11">
        <f>ROUND(+F21+F30,2)</f>
        <v/>
      </c>
      <c r="G33" s="3" t="inlineStr">
        <is>
          <t>P</t>
        </is>
      </c>
      <c r="H33" s="11">
        <f>ROUND(+H30+H21,2)</f>
        <v/>
      </c>
      <c r="I33" s="11">
        <f>ROUND(+I30+I21,2)</f>
        <v/>
      </c>
      <c r="J33" s="11">
        <f>ROUND(+J30+J21,2)</f>
        <v/>
      </c>
      <c r="K33" s="1" t="n"/>
      <c r="L33" s="1" t="n"/>
      <c r="M33" s="1" t="n"/>
      <c r="N33" s="1" t="n"/>
      <c r="O33" s="1" t="n"/>
      <c r="P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8" customHeight="1">
      <c r="A35" s="4" t="inlineStr">
        <is>
          <t>B. AGENCY FEE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2" t="inlineStr">
        <is>
          <t>Administrative Overhead and Margin (Min. 20%, Max 24%)</t>
        </is>
      </c>
      <c r="D36" s="1" t="n"/>
      <c r="E36" s="13">
        <f>+E33*0.24</f>
        <v/>
      </c>
      <c r="F36" s="13">
        <f>+F33*24%</f>
        <v/>
      </c>
      <c r="G36" s="14" t="n"/>
      <c r="H36" s="11">
        <f>ROUND(H33*0.24,2)</f>
        <v/>
      </c>
      <c r="I36" s="11">
        <f>ROUND(I33*0.24,2)</f>
        <v/>
      </c>
      <c r="J36" s="11">
        <f>ROUND(J33*0.24,2)</f>
        <v/>
      </c>
      <c r="K36" s="1" t="n"/>
      <c r="L36" s="1" t="n"/>
      <c r="M36" s="1" t="n"/>
      <c r="N36" s="1" t="n"/>
      <c r="O36" s="1" t="n"/>
      <c r="P36" s="1" t="n"/>
    </row>
    <row r="37" ht="18" customHeight="1">
      <c r="A37" s="1" t="n"/>
      <c r="B37" s="1" t="n"/>
      <c r="C37" s="1" t="n"/>
      <c r="D37" s="1" t="n"/>
      <c r="E37" s="4" t="n"/>
      <c r="F37" s="4" t="n"/>
      <c r="G37" s="2" t="n"/>
      <c r="H37" s="4" t="n"/>
      <c r="I37" s="4" t="n"/>
      <c r="J37" s="4" t="n"/>
      <c r="K37" s="1" t="n"/>
      <c r="L37" s="1" t="n"/>
      <c r="M37" s="1" t="n"/>
      <c r="N37" s="1" t="n"/>
      <c r="O37" s="1" t="n"/>
      <c r="P37" s="1" t="n"/>
    </row>
    <row r="38" ht="18" customHeight="1">
      <c r="A38" s="4" t="inlineStr">
        <is>
          <t>C. VALUE ADDED TAX (Agency fee x 12% VAT-RMC-39-2007)</t>
        </is>
      </c>
      <c r="B38" s="1" t="n"/>
      <c r="C38" s="1" t="n"/>
      <c r="D38" s="1" t="n"/>
      <c r="E38" s="13">
        <f>+E36*0.12</f>
        <v/>
      </c>
      <c r="F38" s="13">
        <f>+F36*0.12</f>
        <v/>
      </c>
      <c r="G38" s="14" t="n"/>
      <c r="H38" s="13">
        <f>ROUND(+H36*0.12,2)</f>
        <v/>
      </c>
      <c r="I38" s="13">
        <f>ROUND(+I36*0.12,2)</f>
        <v/>
      </c>
      <c r="J38" s="13">
        <f>ROUND(+J36*0.12,2)</f>
        <v/>
      </c>
      <c r="K38" s="1" t="n"/>
      <c r="L38" s="1" t="n"/>
      <c r="M38" s="1" t="n"/>
      <c r="N38" s="1" t="n"/>
      <c r="O38" s="1" t="n"/>
      <c r="P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8" customHeight="1">
      <c r="A40" s="4" t="inlineStr">
        <is>
          <t>AVERAGE CONTRACT RATE</t>
        </is>
      </c>
      <c r="B40" s="1" t="n"/>
      <c r="C40" s="1" t="n"/>
      <c r="D40" s="3" t="inlineStr">
        <is>
          <t>P</t>
        </is>
      </c>
      <c r="E40" s="15">
        <f>+E33+E36+E38</f>
        <v/>
      </c>
      <c r="F40" s="15">
        <f>+F33+F36+F38</f>
        <v/>
      </c>
      <c r="G40" s="3" t="inlineStr">
        <is>
          <t>P</t>
        </is>
      </c>
      <c r="H40" s="16">
        <f>ROUND(H33+H36+H38,2)</f>
        <v/>
      </c>
      <c r="I40" s="16">
        <f>ROUND(I33+I36+I38,2)</f>
        <v/>
      </c>
      <c r="J40" s="16">
        <f>ROUND(J33+J36+J38,2)</f>
        <v/>
      </c>
      <c r="K40" s="1" t="n"/>
      <c r="L40" s="1" t="n"/>
      <c r="M40" s="1" t="n"/>
      <c r="N40" s="1" t="n"/>
      <c r="O40" s="1" t="n"/>
      <c r="P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5" t="n"/>
      <c r="F43" s="5" t="n"/>
      <c r="G43" s="6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inlineStr">
        <is>
          <t>Overtime Computation (Day Shift)</t>
        </is>
      </c>
      <c r="C44" s="1" t="n"/>
      <c r="D44" s="1" t="n"/>
      <c r="E44" s="5" t="n"/>
      <c r="F44" s="5" t="n"/>
      <c r="G44" s="6" t="n"/>
      <c r="H44" s="1" t="inlineStr">
        <is>
          <t>Overtime Computation (Night Shift)</t>
        </is>
      </c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inlineStr">
        <is>
          <t>Rate per hour</t>
        </is>
      </c>
      <c r="C46" s="6">
        <f>E13/8</f>
        <v/>
      </c>
      <c r="D46" s="1" t="n"/>
      <c r="E46" s="1" t="n"/>
      <c r="F46" s="1" t="n"/>
      <c r="G46" s="1" t="n"/>
      <c r="H46" s="1" t="inlineStr">
        <is>
          <t>Rate per hour</t>
        </is>
      </c>
      <c r="I46" s="6">
        <f>I13/8</f>
        <v/>
      </c>
      <c r="J46" s="6">
        <f>J13/8</f>
        <v/>
      </c>
      <c r="K46" s="1" t="n"/>
      <c r="L46" s="1" t="n"/>
      <c r="M46" s="1" t="n"/>
      <c r="N46" s="1" t="n"/>
      <c r="O46" s="1" t="n"/>
      <c r="P46" s="1" t="n"/>
    </row>
    <row r="47">
      <c r="A47" s="3" t="n">
        <v>295</v>
      </c>
      <c r="B47" s="1" t="inlineStr">
        <is>
          <t>Ordinary Working Days (HR x 125% x 295 x 4)</t>
        </is>
      </c>
      <c r="C47" s="1" t="n"/>
      <c r="D47" s="1" t="n"/>
      <c r="E47" s="5">
        <f>ROUND((C46*1.25*295*4),2)</f>
        <v/>
      </c>
      <c r="F47" s="1" t="n"/>
      <c r="G47" s="1" t="n"/>
      <c r="H47" s="1" t="inlineStr">
        <is>
          <t>Ordinary WD (HR x 137.5% x 295 x 4)</t>
        </is>
      </c>
      <c r="I47" s="10">
        <f>ROUND((I46*1.375*A47*4),2)</f>
        <v/>
      </c>
      <c r="J47" s="10">
        <f>ROUND((J46*1.375*A47*4),2)</f>
        <v/>
      </c>
      <c r="K47" s="1" t="n"/>
      <c r="L47" s="1" t="n"/>
      <c r="M47" s="1" t="n"/>
      <c r="N47" s="1" t="n"/>
      <c r="O47" s="1" t="n"/>
      <c r="P47" s="1" t="n"/>
    </row>
    <row r="48">
      <c r="A48" s="3" t="n">
        <v>12</v>
      </c>
      <c r="B48" s="1" t="inlineStr">
        <is>
          <t>Regular Holidays (HR x 260% X 12 x 4)</t>
        </is>
      </c>
      <c r="C48" s="1" t="n"/>
      <c r="D48" s="1" t="n"/>
      <c r="E48" s="5">
        <f>ROUND((C46*2.6*12*4),2)</f>
        <v/>
      </c>
      <c r="F48" s="1" t="n"/>
      <c r="G48" s="1" t="n"/>
      <c r="H48" s="1" t="inlineStr">
        <is>
          <t>RD (HR x 286% x 12 x 4)</t>
        </is>
      </c>
      <c r="I48" s="10">
        <f>ROUND((I46*2.86*A48*4),2)</f>
        <v/>
      </c>
      <c r="J48" s="10">
        <f>ROUND((J46*2.86*A48*4),2)</f>
        <v/>
      </c>
      <c r="K48" s="1" t="n"/>
      <c r="L48" s="1" t="n"/>
      <c r="M48" s="1" t="n"/>
      <c r="N48" s="1" t="n"/>
      <c r="O48" s="1" t="n"/>
      <c r="P48" s="1" t="n"/>
    </row>
    <row r="49">
      <c r="A49" s="3" t="n">
        <v>6</v>
      </c>
      <c r="B49" s="1" t="inlineStr">
        <is>
          <t>Special Days (HR x 169% x 6 x 4)</t>
        </is>
      </c>
      <c r="C49" s="1" t="n"/>
      <c r="D49" s="1" t="n"/>
      <c r="E49" s="5">
        <f>ROUND((C46*1.69*A49*4),2)</f>
        <v/>
      </c>
      <c r="F49" s="1" t="n"/>
      <c r="G49" s="1" t="n"/>
      <c r="H49" s="1" t="inlineStr">
        <is>
          <t>SD (HR x 185.9% x 6 x 4)</t>
        </is>
      </c>
      <c r="I49" s="9">
        <f>ROUND((I46*1.859*A49*4),2)</f>
        <v/>
      </c>
      <c r="J49" s="9">
        <f>ROUND((J46*1.859*A49*4),2)</f>
        <v/>
      </c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7">
        <f>SUM(E47:E49)</f>
        <v/>
      </c>
      <c r="F50" s="1" t="n"/>
      <c r="G50" s="1" t="n"/>
      <c r="H50" s="1" t="n"/>
      <c r="I50" s="10">
        <f>SUM(I47:I49)</f>
        <v/>
      </c>
      <c r="J50" s="10">
        <f>SUM(J47:J49)</f>
        <v/>
      </c>
      <c r="K50" s="1" t="n"/>
      <c r="L50" s="1" t="n"/>
      <c r="M50" s="1" t="n"/>
      <c r="N50" s="1" t="n"/>
      <c r="O50" s="1" t="n"/>
      <c r="P50" s="1" t="n"/>
    </row>
    <row r="51">
      <c r="A51" s="1" t="n"/>
      <c r="B51" s="1" t="inlineStr">
        <is>
          <t>Divided by 12</t>
        </is>
      </c>
      <c r="C51" s="1" t="n"/>
      <c r="D51" s="1" t="n"/>
      <c r="E51" s="18" t="n">
        <v>12</v>
      </c>
      <c r="F51" s="1" t="n"/>
      <c r="G51" s="1" t="n"/>
      <c r="H51" s="1" t="inlineStr">
        <is>
          <t>Divided by</t>
        </is>
      </c>
      <c r="I51" s="18" t="n">
        <v>12</v>
      </c>
      <c r="J51" s="18" t="n">
        <v>12</v>
      </c>
      <c r="K51" s="1" t="n"/>
      <c r="L51" s="1" t="n"/>
      <c r="M51" s="1" t="n"/>
      <c r="N51" s="1" t="n"/>
      <c r="O51" s="1" t="n"/>
      <c r="P51" s="1" t="n"/>
    </row>
    <row r="52" ht="16.5" customHeight="1">
      <c r="A52" s="1" t="n"/>
      <c r="B52" s="1" t="inlineStr">
        <is>
          <t>Monthly overtime pay (4 hours/day)</t>
        </is>
      </c>
      <c r="C52" s="1" t="n"/>
      <c r="D52" s="1" t="n"/>
      <c r="E52" s="15">
        <f>E50/E51</f>
        <v/>
      </c>
      <c r="F52" s="1" t="n"/>
      <c r="G52" s="1" t="n"/>
      <c r="H52" s="1" t="inlineStr">
        <is>
          <t>Monthly OT</t>
        </is>
      </c>
      <c r="I52" s="19">
        <f>I50/I51</f>
        <v/>
      </c>
      <c r="J52" s="19">
        <f>J50/J51</f>
        <v/>
      </c>
      <c r="K52" s="1" t="n"/>
      <c r="L52" s="1" t="n"/>
      <c r="M52" s="1" t="n"/>
      <c r="N52" s="1" t="n"/>
      <c r="O52" s="1" t="n"/>
      <c r="P52" s="1" t="n"/>
    </row>
    <row r="53" ht="16.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4" t="inlineStr">
        <is>
          <t>Remark(s)</t>
        </is>
      </c>
      <c r="C54" s="1" t="n"/>
      <c r="D54" s="1" t="n"/>
      <c r="E54" s="5" t="n"/>
      <c r="F54" s="1" t="n"/>
      <c r="G54" s="1" t="n"/>
      <c r="H54" s="4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5" customHeight="1">
      <c r="A55" s="1" t="n"/>
      <c r="B55" s="1" t="inlineStr">
        <is>
          <t>Changed the rate for special days since no one should work</t>
        </is>
      </c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inlineStr">
        <is>
          <t>on a rest day.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18" customHeight="1">
      <c r="A59" s="1" t="n"/>
      <c r="B59" s="1" t="inlineStr">
        <is>
          <t>Basis for SSS (Amount to Guard less 13th month pay)</t>
        </is>
      </c>
      <c r="C59" s="1" t="n"/>
      <c r="D59" s="1" t="n"/>
      <c r="E59" s="20">
        <f>E21-E17</f>
        <v/>
      </c>
      <c r="F59" s="20">
        <f>F21-F17</f>
        <v/>
      </c>
      <c r="G59" s="21" t="n"/>
      <c r="H59" s="20">
        <f>H21-H17</f>
        <v/>
      </c>
      <c r="I59" s="20">
        <f>I21-I17</f>
        <v/>
      </c>
      <c r="J59" s="20">
        <f>J21-J17</f>
        <v/>
      </c>
      <c r="K59" s="1" t="n"/>
      <c r="L59" s="1" t="n"/>
      <c r="M59" s="1" t="n"/>
      <c r="N59" s="1" t="n"/>
      <c r="O59" s="1" t="n"/>
      <c r="P59" s="1" t="n"/>
    </row>
    <row r="60" ht="16.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4" t="inlineStr">
        <is>
          <t>TOTAL COST FOR ONE (1) YEAR ASSIGNED IN REGION XI (Toril, Davao Region)</t>
        </is>
      </c>
      <c r="B61" s="1" t="n"/>
      <c r="C61" s="1" t="n"/>
      <c r="D61" s="3" t="n"/>
      <c r="E61" s="1" t="n"/>
      <c r="F61" s="1" t="n"/>
      <c r="G61" s="3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3" t="n"/>
      <c r="E62" s="1" t="n"/>
      <c r="F62" s="1" t="n"/>
      <c r="G62" s="3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inlineStr">
        <is>
          <t>No. of Guards To be Assigned</t>
        </is>
      </c>
      <c r="B63" s="1" t="n"/>
      <c r="C63" s="1" t="n"/>
      <c r="D63" s="3" t="n"/>
      <c r="E63" s="1" t="n"/>
      <c r="F63" s="1" t="n"/>
      <c r="G63" s="3" t="n"/>
      <c r="H63" s="3" t="n">
        <v>2</v>
      </c>
      <c r="I63" s="3" t="n">
        <v>1</v>
      </c>
      <c r="J63" s="3" t="n">
        <v>1</v>
      </c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3" t="n"/>
      <c r="E64" s="1" t="n"/>
      <c r="F64" s="1" t="n"/>
      <c r="G64" s="3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inlineStr">
        <is>
          <t>Total Average Contract Rate Per Month</t>
        </is>
      </c>
      <c r="B65" s="1" t="n"/>
      <c r="C65" s="1" t="n"/>
      <c r="D65" s="3" t="n"/>
      <c r="E65" s="1" t="n"/>
      <c r="F65" s="1" t="n"/>
      <c r="G65" s="3" t="n"/>
      <c r="H65" s="22">
        <f>ROUND(H40*H63,2)</f>
        <v/>
      </c>
      <c r="I65" s="22">
        <f>ROUND(I40*I63,2)</f>
        <v/>
      </c>
      <c r="J65" s="22">
        <f>ROUND(J40*J63,2)</f>
        <v/>
      </c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3" t="n"/>
      <c r="E66" s="1" t="n"/>
      <c r="F66" s="1" t="n"/>
      <c r="G66" s="3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 ht="15.95" customHeight="1">
      <c r="A67" s="12" t="inlineStr">
        <is>
          <t>Total for 1 Year (Toril, Davao City)</t>
        </is>
      </c>
      <c r="D67" s="3" t="n"/>
      <c r="E67" s="23" t="n"/>
      <c r="F67" s="23" t="n"/>
      <c r="G67" s="24" t="n"/>
      <c r="H67" s="25">
        <f>ROUND(H65*12,2)</f>
        <v/>
      </c>
      <c r="I67" s="25">
        <f>ROUND(I65*12,2)</f>
        <v/>
      </c>
      <c r="J67" s="25">
        <f>ROUND(J65*12,2)</f>
        <v/>
      </c>
      <c r="K67" s="1" t="n"/>
      <c r="L67" s="1" t="n"/>
      <c r="M67" s="22" t="n"/>
      <c r="N67" s="1" t="n"/>
      <c r="O67" s="1" t="n"/>
      <c r="P67" s="1" t="n"/>
    </row>
    <row r="68" ht="16.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 ht="19.5" customHeight="1">
      <c r="A69" s="1" t="n"/>
      <c r="B69" s="1" t="n"/>
      <c r="C69" s="1" t="n"/>
      <c r="D69" s="1" t="n"/>
      <c r="E69" s="1" t="n"/>
      <c r="F69" s="1" t="n"/>
      <c r="G69" s="1" t="n"/>
      <c r="H69" s="26">
        <f>SUM(H67:J67)</f>
        <v/>
      </c>
      <c r="I69" s="27" t="n"/>
      <c r="J69" s="27" t="n"/>
      <c r="K69" s="1" t="n"/>
      <c r="L69" s="1" t="n"/>
      <c r="M69" s="1" t="n"/>
      <c r="N69" s="1" t="n"/>
      <c r="O69" s="1" t="n"/>
      <c r="P69" s="1" t="n"/>
    </row>
    <row r="70" ht="16.5" customHeight="1"/>
  </sheetData>
  <mergeCells count="8">
    <mergeCell ref="E6:F6"/>
    <mergeCell ref="A2:I2"/>
    <mergeCell ref="A36:C36"/>
    <mergeCell ref="A67:C67"/>
    <mergeCell ref="A3:I3"/>
    <mergeCell ref="A4:I4"/>
    <mergeCell ref="H69:J69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2026-05-04T14:17:21Z</dcterms:created>
  <dcterms:modified xsi:type="dcterms:W3CDTF">2026-05-04T14:17:21Z</dcterms:modified>
</cp:coreProperties>
</file>