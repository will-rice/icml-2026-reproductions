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76F65"/>
      <sz val="24"/>
    </font>
    <font>
      <b val="1"/>
      <color rgb="00FFFFFF"/>
    </font>
    <font>
      <b val="1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D5D2CA"/>
        <bgColor rgb="00D5D2CA"/>
      </patternFill>
    </fill>
    <fill>
      <patternFill patternType="solid">
        <fgColor rgb="00776F65"/>
        <bgColor rgb="00776F65"/>
      </patternFill>
    </fill>
    <fill>
      <patternFill patternType="solid">
        <fgColor rgb="00C4BD97"/>
        <bgColor rgb="00C4BD97"/>
      </patternFill>
    </fill>
  </fills>
  <borders count="12">
    <border>
      <left/>
      <right/>
      <top/>
      <bottom/>
      <diagonal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</border>
    <border>
      <left style="thin"/>
    </border>
    <border>
      <top style="thin"/>
    </border>
    <border>
      <right style="thin"/>
      <top style="thin"/>
    </border>
    <border>
      <right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4" pivotButton="0" quotePrefix="0" xfId="0"/>
    <xf numFmtId="0" fontId="2" fillId="3" borderId="5" pivotButton="0" quotePrefix="0" xfId="0"/>
    <xf numFmtId="0" fontId="2" fillId="3" borderId="5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2" fillId="3" borderId="7" pivotButton="0" quotePrefix="0" xfId="0"/>
    <xf numFmtId="0" fontId="0" fillId="2" borderId="9" pivotButton="0" quotePrefix="0" xfId="0"/>
    <xf numFmtId="1" fontId="0" fillId="2" borderId="9" pivotButton="0" quotePrefix="0" xfId="0"/>
    <xf numFmtId="1" fontId="0" fillId="2" borderId="10" pivotButton="0" quotePrefix="0" xfId="0"/>
    <xf numFmtId="0" fontId="2" fillId="3" borderId="8" pivotButton="0" quotePrefix="0" xfId="0"/>
    <xf numFmtId="0" fontId="0" fillId="2" borderId="0" pivotButton="0" quotePrefix="0" xfId="0"/>
    <xf numFmtId="1" fontId="0" fillId="2" borderId="0" pivotButton="0" quotePrefix="0" xfId="0"/>
    <xf numFmtId="1" fontId="0" fillId="2" borderId="11" pivotButton="0" quotePrefix="0" xfId="0"/>
    <xf numFmtId="0" fontId="3" fillId="4" borderId="5" pivotButton="0" quotePrefix="0" xfId="0"/>
    <xf numFmtId="1" fontId="3" fillId="4" borderId="5" pivotButton="0" quotePrefix="0" xfId="0"/>
    <xf numFmtId="1" fontId="3" fillId="4" borderId="6" pivotButton="0" quotePrefix="0" xfId="0"/>
    <xf numFmtId="0" fontId="2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ColWidth="12.42578125" defaultRowHeight="15"/>
  <cols>
    <col width="7.7109375" customWidth="1" min="1" max="1"/>
    <col width="8" bestFit="1" customWidth="1" min="3" max="3"/>
    <col width="17.42578125" bestFit="1" customWidth="1" min="4" max="4"/>
    <col width="16.28515625" bestFit="1" customWidth="1" min="5" max="5"/>
    <col width="13.28515625" bestFit="1" customWidth="1" min="6" max="6"/>
    <col width="14.42578125" bestFit="1" customWidth="1" min="7" max="7"/>
    <col width="16" bestFit="1" customWidth="1" min="8" max="8"/>
    <col width="17.140625" bestFit="1" customWidth="1" min="9" max="9"/>
    <col width="10.5703125" bestFit="1" customWidth="1" min="10" max="10"/>
    <col width="11.5703125" bestFit="1" customWidth="1" min="11" max="11"/>
    <col width="11.85546875" bestFit="1" customWidth="1" min="12" max="12"/>
    <col width="14.85546875" bestFit="1" customWidth="1" min="13" max="13"/>
    <col width="16" bestFit="1" customWidth="1" min="14" max="14"/>
    <col width="15.140625" bestFit="1" customWidth="1" min="15" max="15"/>
    <col width="10.42578125" bestFit="1" customWidth="1" min="16" max="16"/>
  </cols>
  <sheetData>
    <row r="1" ht="31.5" customHeight="1">
      <c r="A1" s="1" t="inlineStr">
        <is>
          <t>Fiscal - Air Freight Meat Exports by State of Production - June 2019 - Tonnes Shipped Weight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>
      <c r="A2" s="4" t="inlineStr">
        <is>
          <t>State</t>
        </is>
      </c>
      <c r="B2" s="5" t="inlineStr">
        <is>
          <t>Meat</t>
        </is>
      </c>
      <c r="C2" s="6" t="inlineStr">
        <is>
          <t>EU</t>
        </is>
      </c>
      <c r="D2" s="6" t="inlineStr">
        <is>
          <t xml:space="preserve">West Europe </t>
        </is>
      </c>
      <c r="E2" s="6" t="inlineStr">
        <is>
          <t xml:space="preserve">East Europe </t>
        </is>
      </c>
      <c r="F2" s="6" t="inlineStr">
        <is>
          <t>USA East</t>
        </is>
      </c>
      <c r="G2" s="6" t="inlineStr">
        <is>
          <t>USA West</t>
        </is>
      </c>
      <c r="H2" s="6" t="inlineStr">
        <is>
          <t>Canada East</t>
        </is>
      </c>
      <c r="I2" s="6" t="inlineStr">
        <is>
          <t>Canada West</t>
        </is>
      </c>
      <c r="J2" s="6" t="inlineStr">
        <is>
          <t>Japan</t>
        </is>
      </c>
      <c r="K2" s="6" t="inlineStr">
        <is>
          <t xml:space="preserve">Korea  </t>
        </is>
      </c>
      <c r="L2" s="6" t="inlineStr">
        <is>
          <t>Taiwan</t>
        </is>
      </c>
      <c r="M2" s="6" t="inlineStr">
        <is>
          <t>Other Asia</t>
        </is>
      </c>
      <c r="N2" s="6" t="inlineStr">
        <is>
          <t>Middle East</t>
        </is>
      </c>
      <c r="O2" s="6" t="inlineStr">
        <is>
          <t>Other Dest</t>
        </is>
      </c>
      <c r="P2" s="7" t="inlineStr">
        <is>
          <t xml:space="preserve">Total </t>
        </is>
      </c>
    </row>
    <row r="3">
      <c r="A3" s="8" t="n"/>
      <c r="B3" s="9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>
      <c r="A4" s="12" t="inlineStr">
        <is>
          <t>NSW</t>
        </is>
      </c>
      <c r="B4" s="13" t="inlineStr">
        <is>
          <t>Beef &amp; Veal</t>
        </is>
      </c>
      <c r="C4" s="14" t="n">
        <v>169.8917</v>
      </c>
      <c r="D4" s="14" t="n">
        <v>559.68683</v>
      </c>
      <c r="E4" s="14" t="n">
        <v>0.9949799999999999</v>
      </c>
      <c r="F4" s="14" t="n">
        <v>18.20277</v>
      </c>
      <c r="G4" s="14" t="n">
        <v>91.89922</v>
      </c>
      <c r="H4" s="14" t="n">
        <v>7.51978</v>
      </c>
      <c r="I4" s="14" t="n">
        <v>19.4797</v>
      </c>
      <c r="J4" s="14" t="n">
        <v>148.67713</v>
      </c>
      <c r="K4" s="14" t="n">
        <v>358.35978</v>
      </c>
      <c r="L4" s="14" t="n">
        <v>371.93094</v>
      </c>
      <c r="M4" s="14" t="n">
        <v>3032.916982000001</v>
      </c>
      <c r="N4" s="14" t="n">
        <v>1152.69205</v>
      </c>
      <c r="O4" s="14" t="n">
        <v>195.46132</v>
      </c>
      <c r="P4" s="15" t="n">
        <v>6127.713182000001</v>
      </c>
    </row>
    <row r="5">
      <c r="A5" s="16" t="inlineStr">
        <is>
          <t>NSW</t>
        </is>
      </c>
      <c r="B5" s="17" t="inlineStr">
        <is>
          <t>Buffalo</t>
        </is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0.042</v>
      </c>
      <c r="M5" s="18" t="n">
        <v>0</v>
      </c>
      <c r="N5" s="18" t="n">
        <v>0</v>
      </c>
      <c r="O5" s="18" t="n">
        <v>0</v>
      </c>
      <c r="P5" s="19" t="n">
        <v>0.042</v>
      </c>
    </row>
    <row r="6">
      <c r="A6" s="16" t="inlineStr">
        <is>
          <t>NSW</t>
        </is>
      </c>
      <c r="B6" s="17" t="inlineStr">
        <is>
          <t>Mutton</t>
        </is>
      </c>
      <c r="C6" s="18" t="n">
        <v>0</v>
      </c>
      <c r="D6" s="18" t="n">
        <v>8.20412</v>
      </c>
      <c r="E6" s="18" t="n">
        <v>0</v>
      </c>
      <c r="F6" s="18" t="n">
        <v>0.10164</v>
      </c>
      <c r="G6" s="18" t="n">
        <v>0.2173</v>
      </c>
      <c r="H6" s="18" t="n">
        <v>0</v>
      </c>
      <c r="I6" s="18" t="n">
        <v>0</v>
      </c>
      <c r="J6" s="18" t="n">
        <v>9.20886</v>
      </c>
      <c r="K6" s="18" t="n">
        <v>0</v>
      </c>
      <c r="L6" s="18" t="n">
        <v>0</v>
      </c>
      <c r="M6" s="18" t="n">
        <v>20.95311</v>
      </c>
      <c r="N6" s="18" t="n">
        <v>1365.39317</v>
      </c>
      <c r="O6" s="18" t="n">
        <v>1.40505</v>
      </c>
      <c r="P6" s="19" t="n">
        <v>1405.48325</v>
      </c>
    </row>
    <row r="7">
      <c r="A7" s="16" t="inlineStr">
        <is>
          <t>NSW</t>
        </is>
      </c>
      <c r="B7" s="17" t="inlineStr">
        <is>
          <t>Lamb</t>
        </is>
      </c>
      <c r="C7" s="18" t="n">
        <v>23.4579</v>
      </c>
      <c r="D7" s="18" t="n">
        <v>166.51169</v>
      </c>
      <c r="E7" s="18" t="n">
        <v>1.28228</v>
      </c>
      <c r="F7" s="18" t="n">
        <v>13.90608</v>
      </c>
      <c r="G7" s="18" t="n">
        <v>68.9944</v>
      </c>
      <c r="H7" s="18" t="n">
        <v>236.76842</v>
      </c>
      <c r="I7" s="18" t="n">
        <v>25.34235</v>
      </c>
      <c r="J7" s="18" t="n">
        <v>137.16852</v>
      </c>
      <c r="K7" s="18" t="n">
        <v>359.63327</v>
      </c>
      <c r="L7" s="18" t="n">
        <v>69.87224000000001</v>
      </c>
      <c r="M7" s="18" t="n">
        <v>91.47539</v>
      </c>
      <c r="N7" s="18" t="n">
        <v>8004.721730000001</v>
      </c>
      <c r="O7" s="18" t="n">
        <v>16.58678</v>
      </c>
      <c r="P7" s="19" t="n">
        <v>9215.721049999998</v>
      </c>
    </row>
    <row r="8">
      <c r="A8" s="16" t="inlineStr">
        <is>
          <t>NSW</t>
        </is>
      </c>
      <c r="B8" s="17" t="inlineStr">
        <is>
          <t>Goat</t>
        </is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1.75744</v>
      </c>
      <c r="M8" s="18" t="n">
        <v>0</v>
      </c>
      <c r="N8" s="18" t="n">
        <v>0</v>
      </c>
      <c r="O8" s="18" t="n">
        <v>1.07663</v>
      </c>
      <c r="P8" s="19" t="n">
        <v>2.83407</v>
      </c>
    </row>
    <row r="9">
      <c r="A9" s="16" t="inlineStr">
        <is>
          <t>NSW</t>
        </is>
      </c>
      <c r="B9" s="17" t="inlineStr">
        <is>
          <t>Pork</t>
        </is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7.295351</v>
      </c>
      <c r="K9" s="18" t="n">
        <v>0.09378</v>
      </c>
      <c r="L9" s="18" t="n">
        <v>0</v>
      </c>
      <c r="M9" s="18" t="n">
        <v>1743.351964</v>
      </c>
      <c r="N9" s="18" t="n">
        <v>1.01951</v>
      </c>
      <c r="O9" s="18" t="n">
        <v>17.75274</v>
      </c>
      <c r="P9" s="19" t="n">
        <v>1769.513345</v>
      </c>
    </row>
    <row r="10">
      <c r="A10" s="16" t="inlineStr">
        <is>
          <t>NSW</t>
        </is>
      </c>
      <c r="B10" s="17" t="inlineStr">
        <is>
          <t>Fancy Meats</t>
        </is>
      </c>
      <c r="C10" s="18" t="n">
        <v>0.07904</v>
      </c>
      <c r="D10" s="18" t="n">
        <v>0</v>
      </c>
      <c r="E10" s="18" t="n">
        <v>0</v>
      </c>
      <c r="F10" s="18" t="n">
        <v>0.3625</v>
      </c>
      <c r="G10" s="18" t="n">
        <v>8.82315</v>
      </c>
      <c r="H10" s="18" t="n">
        <v>1.1167</v>
      </c>
      <c r="I10" s="18" t="n">
        <v>0.5993000000000001</v>
      </c>
      <c r="J10" s="18" t="n">
        <v>99.98806999999999</v>
      </c>
      <c r="K10" s="18" t="n">
        <v>119.50873</v>
      </c>
      <c r="L10" s="18" t="n">
        <v>68.68892</v>
      </c>
      <c r="M10" s="18" t="n">
        <v>156.075606</v>
      </c>
      <c r="N10" s="18" t="n">
        <v>235.61709</v>
      </c>
      <c r="O10" s="18" t="n">
        <v>2.46479</v>
      </c>
      <c r="P10" s="19" t="n">
        <v>693.323896</v>
      </c>
    </row>
    <row r="11">
      <c r="A11" s="16" t="inlineStr">
        <is>
          <t>NSW</t>
        </is>
      </c>
      <c r="B11" s="20" t="inlineStr">
        <is>
          <t xml:space="preserve">Total </t>
        </is>
      </c>
      <c r="C11" s="21">
        <f>SUM(C4:C10)</f>
        <v/>
      </c>
      <c r="D11" s="21">
        <f>SUM(D4:D10)</f>
        <v/>
      </c>
      <c r="E11" s="21">
        <f>SUM(E4:E10)</f>
        <v/>
      </c>
      <c r="F11" s="21">
        <f>SUM(F4:F10)</f>
        <v/>
      </c>
      <c r="G11" s="21">
        <f>SUM(G4:G10)</f>
        <v/>
      </c>
      <c r="H11" s="21">
        <f>SUM(H4:H10)</f>
        <v/>
      </c>
      <c r="I11" s="21">
        <f>SUM(I4:I10)</f>
        <v/>
      </c>
      <c r="J11" s="21">
        <f>SUM(J4:J10)</f>
        <v/>
      </c>
      <c r="K11" s="21">
        <f>SUM(K4:K10)</f>
        <v/>
      </c>
      <c r="L11" s="21">
        <f>SUM(L4:L10)</f>
        <v/>
      </c>
      <c r="M11" s="21">
        <f>SUM(M4:M10)</f>
        <v/>
      </c>
      <c r="N11" s="21">
        <f>SUM(N4:N10)</f>
        <v/>
      </c>
      <c r="O11" s="21">
        <f>SUM(O4:O10)</f>
        <v/>
      </c>
      <c r="P11" s="22">
        <f>SUM(P4:P10)</f>
        <v/>
      </c>
    </row>
    <row r="12">
      <c r="A12" s="16" t="inlineStr">
        <is>
          <t>VIC</t>
        </is>
      </c>
      <c r="B12" s="17" t="inlineStr">
        <is>
          <t>Beef &amp; Veal</t>
        </is>
      </c>
      <c r="C12" s="18" t="n">
        <v>245.63215</v>
      </c>
      <c r="D12" s="18" t="n">
        <v>0</v>
      </c>
      <c r="E12" s="18" t="n">
        <v>1.7901</v>
      </c>
      <c r="F12" s="18" t="n">
        <v>71.37351</v>
      </c>
      <c r="G12" s="18" t="n">
        <v>136.45583</v>
      </c>
      <c r="H12" s="18" t="n">
        <v>4.20583</v>
      </c>
      <c r="I12" s="18" t="n">
        <v>0.3037</v>
      </c>
      <c r="J12" s="18" t="n">
        <v>67.85014</v>
      </c>
      <c r="K12" s="18" t="n">
        <v>60.91256000000001</v>
      </c>
      <c r="L12" s="18" t="n">
        <v>84.02849999999998</v>
      </c>
      <c r="M12" s="18" t="n">
        <v>3945.69514</v>
      </c>
      <c r="N12" s="18" t="n">
        <v>973.12015</v>
      </c>
      <c r="O12" s="18" t="n">
        <v>140.277794</v>
      </c>
      <c r="P12" s="19" t="n">
        <v>5731.645403999999</v>
      </c>
    </row>
    <row r="13">
      <c r="A13" s="16" t="inlineStr">
        <is>
          <t>VIC</t>
        </is>
      </c>
      <c r="B13" s="17" t="inlineStr">
        <is>
          <t>Buffalo</t>
        </is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9" t="n">
        <v>0</v>
      </c>
    </row>
    <row r="14">
      <c r="A14" s="16" t="inlineStr">
        <is>
          <t>VIC</t>
        </is>
      </c>
      <c r="B14" s="17" t="inlineStr">
        <is>
          <t>Mutton</t>
        </is>
      </c>
      <c r="C14" s="18" t="n">
        <v>0</v>
      </c>
      <c r="D14" s="18" t="n">
        <v>1.92358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40.76707</v>
      </c>
      <c r="K14" s="18" t="n">
        <v>1.25375</v>
      </c>
      <c r="L14" s="18" t="n">
        <v>1.3221</v>
      </c>
      <c r="M14" s="18" t="n">
        <v>279.14001</v>
      </c>
      <c r="N14" s="18" t="n">
        <v>4503.41062</v>
      </c>
      <c r="O14" s="18" t="n">
        <v>4.70852</v>
      </c>
      <c r="P14" s="19" t="n">
        <v>4832.52565</v>
      </c>
    </row>
    <row r="15">
      <c r="A15" s="16" t="inlineStr">
        <is>
          <t>VIC</t>
        </is>
      </c>
      <c r="B15" s="17" t="inlineStr">
        <is>
          <t>Lamb</t>
        </is>
      </c>
      <c r="C15" s="18" t="n">
        <v>135.45882</v>
      </c>
      <c r="D15" s="18" t="n">
        <v>595.93139</v>
      </c>
      <c r="E15" s="18" t="n">
        <v>0</v>
      </c>
      <c r="F15" s="18" t="n">
        <v>111.7951</v>
      </c>
      <c r="G15" s="18" t="n">
        <v>559.06114</v>
      </c>
      <c r="H15" s="18" t="n">
        <v>88.45648</v>
      </c>
      <c r="I15" s="18" t="n">
        <v>49.27092</v>
      </c>
      <c r="J15" s="18" t="n">
        <v>66.46603</v>
      </c>
      <c r="K15" s="18" t="n">
        <v>226.65949</v>
      </c>
      <c r="L15" s="18" t="n">
        <v>15.565748</v>
      </c>
      <c r="M15" s="18" t="n">
        <v>1571.90596</v>
      </c>
      <c r="N15" s="18" t="n">
        <v>30236.53495</v>
      </c>
      <c r="O15" s="18" t="n">
        <v>147.75962</v>
      </c>
      <c r="P15" s="19" t="n">
        <v>33804.86564800001</v>
      </c>
    </row>
    <row r="16">
      <c r="A16" s="16" t="inlineStr">
        <is>
          <t>VIC</t>
        </is>
      </c>
      <c r="B16" s="17" t="inlineStr">
        <is>
          <t>Goat</t>
        </is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3.957469999999999</v>
      </c>
      <c r="N16" s="18" t="n">
        <v>0</v>
      </c>
      <c r="O16" s="18" t="n">
        <v>0</v>
      </c>
      <c r="P16" s="19" t="n">
        <v>3.95747</v>
      </c>
    </row>
    <row r="17">
      <c r="A17" s="16" t="inlineStr">
        <is>
          <t>VIC</t>
        </is>
      </c>
      <c r="B17" s="17" t="inlineStr">
        <is>
          <t>Pork</t>
        </is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0.326</v>
      </c>
      <c r="K17" s="18" t="n">
        <v>0</v>
      </c>
      <c r="L17" s="18" t="n">
        <v>0</v>
      </c>
      <c r="M17" s="18" t="n">
        <v>857.45579</v>
      </c>
      <c r="N17" s="18" t="n">
        <v>0</v>
      </c>
      <c r="O17" s="18" t="n">
        <v>10.687617</v>
      </c>
      <c r="P17" s="19" t="n">
        <v>868.4694070000002</v>
      </c>
    </row>
    <row r="18">
      <c r="A18" s="16" t="inlineStr">
        <is>
          <t>VIC</t>
        </is>
      </c>
      <c r="B18" s="17" t="inlineStr">
        <is>
          <t>Fancy Meats</t>
        </is>
      </c>
      <c r="C18" s="18" t="n">
        <v>0.7110499999999998</v>
      </c>
      <c r="D18" s="18" t="n">
        <v>0</v>
      </c>
      <c r="E18" s="18" t="n">
        <v>0</v>
      </c>
      <c r="F18" s="18" t="n">
        <v>0.0243</v>
      </c>
      <c r="G18" s="18" t="n">
        <v>4.49085</v>
      </c>
      <c r="H18" s="18" t="n">
        <v>0</v>
      </c>
      <c r="I18" s="18" t="n">
        <v>0</v>
      </c>
      <c r="J18" s="18" t="n">
        <v>127.3804</v>
      </c>
      <c r="K18" s="18" t="n">
        <v>0.40983</v>
      </c>
      <c r="L18" s="18" t="n">
        <v>3.51141</v>
      </c>
      <c r="M18" s="18" t="n">
        <v>276.93174</v>
      </c>
      <c r="N18" s="18" t="n">
        <v>785.79495</v>
      </c>
      <c r="O18" s="18" t="n">
        <v>2.24422</v>
      </c>
      <c r="P18" s="19" t="n">
        <v>1201.49875</v>
      </c>
    </row>
    <row r="19">
      <c r="A19" s="16" t="inlineStr">
        <is>
          <t>VIC</t>
        </is>
      </c>
      <c r="B19" s="20" t="inlineStr">
        <is>
          <t xml:space="preserve">Total </t>
        </is>
      </c>
      <c r="C19" s="21">
        <f>SUM(C12:C18)</f>
        <v/>
      </c>
      <c r="D19" s="21">
        <f>SUM(D12:D18)</f>
        <v/>
      </c>
      <c r="E19" s="21">
        <f>SUM(E12:E18)</f>
        <v/>
      </c>
      <c r="F19" s="21">
        <f>SUM(F12:F18)</f>
        <v/>
      </c>
      <c r="G19" s="21">
        <f>SUM(G12:G18)</f>
        <v/>
      </c>
      <c r="H19" s="21">
        <f>SUM(H12:H18)</f>
        <v/>
      </c>
      <c r="I19" s="21">
        <f>SUM(I12:I18)</f>
        <v/>
      </c>
      <c r="J19" s="21">
        <f>SUM(J12:J18)</f>
        <v/>
      </c>
      <c r="K19" s="21">
        <f>SUM(K12:K18)</f>
        <v/>
      </c>
      <c r="L19" s="21">
        <f>SUM(L12:L18)</f>
        <v/>
      </c>
      <c r="M19" s="21">
        <f>SUM(M12:M18)</f>
        <v/>
      </c>
      <c r="N19" s="21">
        <f>SUM(N12:N18)</f>
        <v/>
      </c>
      <c r="O19" s="21">
        <f>SUM(O12:O18)</f>
        <v/>
      </c>
      <c r="P19" s="22">
        <f>SUM(P12:P18)</f>
        <v/>
      </c>
    </row>
    <row r="20">
      <c r="A20" s="16" t="inlineStr">
        <is>
          <t>QLD</t>
        </is>
      </c>
      <c r="B20" s="17" t="inlineStr">
        <is>
          <t>Beef &amp; Veal</t>
        </is>
      </c>
      <c r="C20" s="18" t="n">
        <v>482.65144</v>
      </c>
      <c r="D20" s="18" t="n">
        <v>203.04606</v>
      </c>
      <c r="E20" s="18" t="n">
        <v>12.5672</v>
      </c>
      <c r="F20" s="18" t="n">
        <v>298.30448</v>
      </c>
      <c r="G20" s="18" t="n">
        <v>596.3931</v>
      </c>
      <c r="H20" s="18" t="n">
        <v>59.17421</v>
      </c>
      <c r="I20" s="18" t="n">
        <v>17.98599</v>
      </c>
      <c r="J20" s="18" t="n">
        <v>304.96057</v>
      </c>
      <c r="K20" s="18" t="n">
        <v>1239.34983</v>
      </c>
      <c r="L20" s="18" t="n">
        <v>299.7398</v>
      </c>
      <c r="M20" s="18" t="n">
        <v>7293.605509999999</v>
      </c>
      <c r="N20" s="18" t="n">
        <v>2288.21122</v>
      </c>
      <c r="O20" s="18" t="n">
        <v>157.5048</v>
      </c>
      <c r="P20" s="19" t="n">
        <v>13253.49421</v>
      </c>
    </row>
    <row r="21">
      <c r="A21" s="16" t="inlineStr">
        <is>
          <t>QLD</t>
        </is>
      </c>
      <c r="B21" s="17" t="inlineStr">
        <is>
          <t>Buffalo</t>
        </is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9" t="n">
        <v>0</v>
      </c>
    </row>
    <row r="22">
      <c r="A22" s="16" t="inlineStr">
        <is>
          <t>QLD</t>
        </is>
      </c>
      <c r="B22" s="17" t="inlineStr">
        <is>
          <t>Mutton</t>
        </is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0.001</v>
      </c>
      <c r="N22" s="18" t="n">
        <v>46.69721</v>
      </c>
      <c r="O22" s="18" t="n">
        <v>0</v>
      </c>
      <c r="P22" s="19" t="n">
        <v>46.69821000000001</v>
      </c>
    </row>
    <row r="23">
      <c r="A23" s="16" t="inlineStr">
        <is>
          <t>QLD</t>
        </is>
      </c>
      <c r="B23" s="17" t="inlineStr">
        <is>
          <t>Lamb</t>
        </is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17.50255</v>
      </c>
      <c r="K23" s="18" t="n">
        <v>1.18635</v>
      </c>
      <c r="L23" s="18" t="n">
        <v>0</v>
      </c>
      <c r="M23" s="18" t="n">
        <v>40.5175</v>
      </c>
      <c r="N23" s="18" t="n">
        <v>469.8328300000001</v>
      </c>
      <c r="O23" s="18" t="n">
        <v>1.64971</v>
      </c>
      <c r="P23" s="19" t="n">
        <v>530.6889399999999</v>
      </c>
    </row>
    <row r="24">
      <c r="A24" s="16" t="inlineStr">
        <is>
          <t>QLD</t>
        </is>
      </c>
      <c r="B24" s="17" t="inlineStr">
        <is>
          <t>Goat</t>
        </is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9" t="n">
        <v>0</v>
      </c>
    </row>
    <row r="25">
      <c r="A25" s="16" t="inlineStr">
        <is>
          <t>QLD</t>
        </is>
      </c>
      <c r="B25" s="17" t="inlineStr">
        <is>
          <t>Pork</t>
        </is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1.04019</v>
      </c>
      <c r="K25" s="18" t="n">
        <v>0.11602</v>
      </c>
      <c r="L25" s="18" t="n">
        <v>0</v>
      </c>
      <c r="M25" s="18" t="n">
        <v>1627.82758</v>
      </c>
      <c r="N25" s="18" t="n">
        <v>0.19406</v>
      </c>
      <c r="O25" s="18" t="n">
        <v>5.05574</v>
      </c>
      <c r="P25" s="19" t="n">
        <v>1634.23359</v>
      </c>
    </row>
    <row r="26">
      <c r="A26" s="16" t="inlineStr">
        <is>
          <t>QLD</t>
        </is>
      </c>
      <c r="B26" s="17" t="inlineStr">
        <is>
          <t>Fancy Meats</t>
        </is>
      </c>
      <c r="C26" s="18" t="n">
        <v>1.63119</v>
      </c>
      <c r="D26" s="18" t="n">
        <v>0</v>
      </c>
      <c r="E26" s="18" t="n">
        <v>0</v>
      </c>
      <c r="F26" s="18" t="n">
        <v>0.06105000000000001</v>
      </c>
      <c r="G26" s="18" t="n">
        <v>33.71836</v>
      </c>
      <c r="H26" s="18" t="n">
        <v>0.51819</v>
      </c>
      <c r="I26" s="18" t="n">
        <v>0</v>
      </c>
      <c r="J26" s="18" t="n">
        <v>437.21091</v>
      </c>
      <c r="K26" s="18" t="n">
        <v>914.0045699999999</v>
      </c>
      <c r="L26" s="18" t="n">
        <v>77.75679</v>
      </c>
      <c r="M26" s="18" t="n">
        <v>399.78019</v>
      </c>
      <c r="N26" s="18" t="n">
        <v>52.85551</v>
      </c>
      <c r="O26" s="18" t="n">
        <v>3.59706</v>
      </c>
      <c r="P26" s="19" t="n">
        <v>1921.13382</v>
      </c>
    </row>
    <row r="27">
      <c r="A27" s="16" t="inlineStr">
        <is>
          <t>QLD</t>
        </is>
      </c>
      <c r="B27" s="20" t="inlineStr">
        <is>
          <t xml:space="preserve">Total </t>
        </is>
      </c>
      <c r="C27" s="21">
        <f>SUM(C20:C26)</f>
        <v/>
      </c>
      <c r="D27" s="21">
        <f>SUM(D20:D26)</f>
        <v/>
      </c>
      <c r="E27" s="21">
        <f>SUM(E20:E26)</f>
        <v/>
      </c>
      <c r="F27" s="21">
        <f>SUM(F20:F26)</f>
        <v/>
      </c>
      <c r="G27" s="21">
        <f>SUM(G20:G26)</f>
        <v/>
      </c>
      <c r="H27" s="21">
        <f>SUM(H20:H26)</f>
        <v/>
      </c>
      <c r="I27" s="21">
        <f>SUM(I20:I26)</f>
        <v/>
      </c>
      <c r="J27" s="21">
        <f>SUM(J20:J26)</f>
        <v/>
      </c>
      <c r="K27" s="21">
        <f>SUM(K20:K26)</f>
        <v/>
      </c>
      <c r="L27" s="21">
        <f>SUM(L20:L26)</f>
        <v/>
      </c>
      <c r="M27" s="21">
        <f>SUM(M20:M26)</f>
        <v/>
      </c>
      <c r="N27" s="21">
        <f>SUM(N20:N26)</f>
        <v/>
      </c>
      <c r="O27" s="21">
        <f>SUM(O20:O26)</f>
        <v/>
      </c>
      <c r="P27" s="22">
        <f>SUM(P20:P26)</f>
        <v/>
      </c>
    </row>
    <row r="28">
      <c r="A28" s="16" t="inlineStr">
        <is>
          <t>SA</t>
        </is>
      </c>
      <c r="B28" s="17" t="inlineStr">
        <is>
          <t>Beef &amp; Veal</t>
        </is>
      </c>
      <c r="C28" s="18" t="n">
        <v>3.59425</v>
      </c>
      <c r="D28" s="18" t="n">
        <v>44.15491</v>
      </c>
      <c r="E28" s="18" t="n">
        <v>0</v>
      </c>
      <c r="F28" s="18" t="n">
        <v>0</v>
      </c>
      <c r="G28" s="18" t="n">
        <v>13.1286</v>
      </c>
      <c r="H28" s="18" t="n">
        <v>0</v>
      </c>
      <c r="I28" s="18" t="n">
        <v>1.22931</v>
      </c>
      <c r="J28" s="18" t="n">
        <v>1.75753</v>
      </c>
      <c r="K28" s="18" t="n">
        <v>1.29676</v>
      </c>
      <c r="L28" s="18" t="n">
        <v>0</v>
      </c>
      <c r="M28" s="18" t="n">
        <v>56.46483</v>
      </c>
      <c r="N28" s="18" t="n">
        <v>70.95217</v>
      </c>
      <c r="O28" s="18" t="n">
        <v>0.09859</v>
      </c>
      <c r="P28" s="19" t="n">
        <v>192.67695</v>
      </c>
    </row>
    <row r="29">
      <c r="A29" s="16" t="inlineStr">
        <is>
          <t>SA</t>
        </is>
      </c>
      <c r="B29" s="17" t="inlineStr">
        <is>
          <t>Buffalo</t>
        </is>
      </c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0</v>
      </c>
      <c r="M29" s="18" t="n">
        <v>0</v>
      </c>
      <c r="N29" s="18" t="n">
        <v>0</v>
      </c>
      <c r="O29" s="18" t="n">
        <v>0</v>
      </c>
      <c r="P29" s="19" t="n">
        <v>0</v>
      </c>
    </row>
    <row r="30">
      <c r="A30" s="16" t="inlineStr">
        <is>
          <t>SA</t>
        </is>
      </c>
      <c r="B30" s="17" t="inlineStr">
        <is>
          <t>Mutton</t>
        </is>
      </c>
      <c r="C30" s="18" t="n">
        <v>1.59719</v>
      </c>
      <c r="D30" s="18" t="n">
        <v>1.57209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17.51509</v>
      </c>
      <c r="K30" s="18" t="n">
        <v>0.30329</v>
      </c>
      <c r="L30" s="18" t="n">
        <v>3.91046</v>
      </c>
      <c r="M30" s="18" t="n">
        <v>6.63603</v>
      </c>
      <c r="N30" s="18" t="n">
        <v>7.96504</v>
      </c>
      <c r="O30" s="18" t="n">
        <v>0.39858</v>
      </c>
      <c r="P30" s="19" t="n">
        <v>39.89777</v>
      </c>
    </row>
    <row r="31">
      <c r="A31" s="16" t="inlineStr">
        <is>
          <t>SA</t>
        </is>
      </c>
      <c r="B31" s="17" t="inlineStr">
        <is>
          <t>Lamb</t>
        </is>
      </c>
      <c r="C31" s="18" t="n">
        <v>61.62114</v>
      </c>
      <c r="D31" s="18" t="n">
        <v>192.44088</v>
      </c>
      <c r="E31" s="18" t="n">
        <v>0</v>
      </c>
      <c r="F31" s="18" t="n">
        <v>90.41064</v>
      </c>
      <c r="G31" s="18" t="n">
        <v>45.52593</v>
      </c>
      <c r="H31" s="18" t="n">
        <v>11.42837</v>
      </c>
      <c r="I31" s="18" t="n">
        <v>0</v>
      </c>
      <c r="J31" s="18" t="n">
        <v>58.86972</v>
      </c>
      <c r="K31" s="18" t="n">
        <v>117.34281</v>
      </c>
      <c r="L31" s="18" t="n">
        <v>282.28738</v>
      </c>
      <c r="M31" s="18" t="n">
        <v>302.89795</v>
      </c>
      <c r="N31" s="18" t="n">
        <v>301.69514</v>
      </c>
      <c r="O31" s="18" t="n">
        <v>43.49174</v>
      </c>
      <c r="P31" s="19" t="n">
        <v>1508.0117</v>
      </c>
    </row>
    <row r="32">
      <c r="A32" s="16" t="inlineStr">
        <is>
          <t>SA</t>
        </is>
      </c>
      <c r="B32" s="17" t="inlineStr">
        <is>
          <t>Goat</t>
        </is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10.8398</v>
      </c>
      <c r="N32" s="18" t="n">
        <v>0</v>
      </c>
      <c r="O32" s="18" t="n">
        <v>0</v>
      </c>
      <c r="P32" s="19" t="n">
        <v>10.8398</v>
      </c>
    </row>
    <row r="33">
      <c r="A33" s="16" t="inlineStr">
        <is>
          <t>SA</t>
        </is>
      </c>
      <c r="B33" s="17" t="inlineStr">
        <is>
          <t>Pork</t>
        </is>
      </c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1286.88628</v>
      </c>
      <c r="N33" s="18" t="n">
        <v>0</v>
      </c>
      <c r="O33" s="18" t="n">
        <v>0.29745</v>
      </c>
      <c r="P33" s="19" t="n">
        <v>1287.18373</v>
      </c>
    </row>
    <row r="34">
      <c r="A34" s="16" t="inlineStr">
        <is>
          <t>SA</t>
        </is>
      </c>
      <c r="B34" s="17" t="inlineStr">
        <is>
          <t>Fancy Meats</t>
        </is>
      </c>
      <c r="C34" s="18" t="n">
        <v>0</v>
      </c>
      <c r="D34" s="18" t="n">
        <v>0</v>
      </c>
      <c r="E34" s="18" t="n">
        <v>0</v>
      </c>
      <c r="F34" s="18" t="n">
        <v>0.104</v>
      </c>
      <c r="G34" s="18" t="n">
        <v>0</v>
      </c>
      <c r="H34" s="18" t="n">
        <v>0</v>
      </c>
      <c r="I34" s="18" t="n">
        <v>0</v>
      </c>
      <c r="J34" s="18" t="n">
        <v>12.95904</v>
      </c>
      <c r="K34" s="18" t="n">
        <v>0</v>
      </c>
      <c r="L34" s="18" t="n">
        <v>0</v>
      </c>
      <c r="M34" s="18" t="n">
        <v>0.11264</v>
      </c>
      <c r="N34" s="18" t="n">
        <v>13.12156</v>
      </c>
      <c r="O34" s="18" t="n">
        <v>0</v>
      </c>
      <c r="P34" s="19" t="n">
        <v>26.29724</v>
      </c>
    </row>
    <row r="35">
      <c r="A35" s="16" t="inlineStr">
        <is>
          <t>SA</t>
        </is>
      </c>
      <c r="B35" s="20" t="inlineStr">
        <is>
          <t xml:space="preserve">Total </t>
        </is>
      </c>
      <c r="C35" s="21">
        <f>SUM(C28:C34)</f>
        <v/>
      </c>
      <c r="D35" s="21">
        <f>SUM(D28:D34)</f>
        <v/>
      </c>
      <c r="E35" s="21">
        <f>SUM(E28:E34)</f>
        <v/>
      </c>
      <c r="F35" s="21">
        <f>SUM(F28:F34)</f>
        <v/>
      </c>
      <c r="G35" s="21">
        <f>SUM(G28:G34)</f>
        <v/>
      </c>
      <c r="H35" s="21">
        <f>SUM(H28:H34)</f>
        <v/>
      </c>
      <c r="I35" s="21">
        <f>SUM(I28:I34)</f>
        <v/>
      </c>
      <c r="J35" s="21">
        <f>SUM(J28:J34)</f>
        <v/>
      </c>
      <c r="K35" s="21">
        <f>SUM(K28:K34)</f>
        <v/>
      </c>
      <c r="L35" s="21">
        <f>SUM(L28:L34)</f>
        <v/>
      </c>
      <c r="M35" s="21">
        <f>SUM(M28:M34)</f>
        <v/>
      </c>
      <c r="N35" s="21">
        <f>SUM(N28:N34)</f>
        <v/>
      </c>
      <c r="O35" s="21">
        <f>SUM(O28:O34)</f>
        <v/>
      </c>
      <c r="P35" s="22">
        <f>SUM(P28:P34)</f>
        <v/>
      </c>
    </row>
    <row r="36">
      <c r="A36" s="16" t="inlineStr">
        <is>
          <t>WA</t>
        </is>
      </c>
      <c r="B36" s="17" t="inlineStr">
        <is>
          <t>Beef &amp; Veal</t>
        </is>
      </c>
      <c r="C36" s="18" t="n">
        <v>0</v>
      </c>
      <c r="D36" s="18" t="n">
        <v>0</v>
      </c>
      <c r="E36" s="18" t="n">
        <v>0</v>
      </c>
      <c r="F36" s="18" t="n">
        <v>0</v>
      </c>
      <c r="G36" s="18" t="n">
        <v>0</v>
      </c>
      <c r="H36" s="18" t="n">
        <v>0</v>
      </c>
      <c r="I36" s="18" t="n">
        <v>0</v>
      </c>
      <c r="J36" s="18" t="n">
        <v>0.136</v>
      </c>
      <c r="K36" s="18" t="n">
        <v>2.40386</v>
      </c>
      <c r="L36" s="18" t="n">
        <v>2.774020000000001</v>
      </c>
      <c r="M36" s="18" t="n">
        <v>872.45322</v>
      </c>
      <c r="N36" s="18" t="n">
        <v>128.25092</v>
      </c>
      <c r="O36" s="18" t="n">
        <v>57.56576</v>
      </c>
      <c r="P36" s="19" t="n">
        <v>1063.58378</v>
      </c>
    </row>
    <row r="37">
      <c r="A37" s="16" t="inlineStr">
        <is>
          <t>WA</t>
        </is>
      </c>
      <c r="B37" s="17" t="inlineStr">
        <is>
          <t>Buffalo</t>
        </is>
      </c>
      <c r="C37" s="18" t="n">
        <v>0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0</v>
      </c>
      <c r="M37" s="18" t="n">
        <v>0</v>
      </c>
      <c r="N37" s="18" t="n">
        <v>0</v>
      </c>
      <c r="O37" s="18" t="n">
        <v>0</v>
      </c>
      <c r="P37" s="19" t="n">
        <v>0</v>
      </c>
    </row>
    <row r="38">
      <c r="A38" s="16" t="inlineStr">
        <is>
          <t>WA</t>
        </is>
      </c>
      <c r="B38" s="17" t="inlineStr">
        <is>
          <t>Mutton</t>
        </is>
      </c>
      <c r="C38" s="18" t="n">
        <v>0</v>
      </c>
      <c r="D38" s="18" t="n">
        <v>4.86778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0.03</v>
      </c>
      <c r="K38" s="18" t="n">
        <v>1.60648</v>
      </c>
      <c r="L38" s="18" t="n">
        <v>0</v>
      </c>
      <c r="M38" s="18" t="n">
        <v>88.8685</v>
      </c>
      <c r="N38" s="18" t="n">
        <v>916.62934</v>
      </c>
      <c r="O38" s="18" t="n">
        <v>0.62022</v>
      </c>
      <c r="P38" s="19" t="n">
        <v>1012.62232</v>
      </c>
    </row>
    <row r="39">
      <c r="A39" s="16" t="inlineStr">
        <is>
          <t>WA</t>
        </is>
      </c>
      <c r="B39" s="17" t="inlineStr">
        <is>
          <t>Lamb</t>
        </is>
      </c>
      <c r="C39" s="18" t="n">
        <v>3.73682</v>
      </c>
      <c r="D39" s="18" t="n">
        <v>112.33001</v>
      </c>
      <c r="E39" s="18" t="n">
        <v>0</v>
      </c>
      <c r="F39" s="18" t="n">
        <v>3.99404</v>
      </c>
      <c r="G39" s="18" t="n">
        <v>1.69522</v>
      </c>
      <c r="H39" s="18" t="n">
        <v>27.7866</v>
      </c>
      <c r="I39" s="18" t="n">
        <v>48.6053</v>
      </c>
      <c r="J39" s="18" t="n">
        <v>50.65113</v>
      </c>
      <c r="K39" s="18" t="n">
        <v>32.26624</v>
      </c>
      <c r="L39" s="18" t="n">
        <v>1.31946</v>
      </c>
      <c r="M39" s="18" t="n">
        <v>169.08822</v>
      </c>
      <c r="N39" s="18" t="n">
        <v>12727.91173</v>
      </c>
      <c r="O39" s="18" t="n">
        <v>34.63981</v>
      </c>
      <c r="P39" s="19" t="n">
        <v>13214.02458</v>
      </c>
    </row>
    <row r="40">
      <c r="A40" s="16" t="inlineStr">
        <is>
          <t>WA</t>
        </is>
      </c>
      <c r="B40" s="17" t="inlineStr">
        <is>
          <t>Goat</t>
        </is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9" t="n">
        <v>0</v>
      </c>
    </row>
    <row r="41">
      <c r="A41" s="16" t="inlineStr">
        <is>
          <t>WA</t>
        </is>
      </c>
      <c r="B41" s="17" t="inlineStr">
        <is>
          <t>Pork</t>
        </is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0.06838</v>
      </c>
      <c r="K41" s="18" t="n">
        <v>0</v>
      </c>
      <c r="L41" s="18" t="n">
        <v>0</v>
      </c>
      <c r="M41" s="18" t="n">
        <v>6738.46494</v>
      </c>
      <c r="N41" s="18" t="n">
        <v>0</v>
      </c>
      <c r="O41" s="18" t="n">
        <v>0</v>
      </c>
      <c r="P41" s="19" t="n">
        <v>6738.53332</v>
      </c>
    </row>
    <row r="42">
      <c r="A42" s="16" t="inlineStr">
        <is>
          <t>WA</t>
        </is>
      </c>
      <c r="B42" s="17" t="inlineStr">
        <is>
          <t>Fancy Meats</t>
        </is>
      </c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3.10072</v>
      </c>
      <c r="L42" s="18" t="n">
        <v>4.50189</v>
      </c>
      <c r="M42" s="18" t="n">
        <v>547.63855</v>
      </c>
      <c r="N42" s="18" t="n">
        <v>1.6165</v>
      </c>
      <c r="O42" s="18" t="n">
        <v>3.16128</v>
      </c>
      <c r="P42" s="19" t="n">
        <v>560.01894</v>
      </c>
    </row>
    <row r="43">
      <c r="A43" s="16" t="inlineStr">
        <is>
          <t>WA</t>
        </is>
      </c>
      <c r="B43" s="20" t="inlineStr">
        <is>
          <t xml:space="preserve">Total </t>
        </is>
      </c>
      <c r="C43" s="21">
        <f>SUM(C36:C42)</f>
        <v/>
      </c>
      <c r="D43" s="21">
        <f>SUM(D36:D42)</f>
        <v/>
      </c>
      <c r="E43" s="21">
        <f>SUM(E36:E42)</f>
        <v/>
      </c>
      <c r="F43" s="21">
        <f>SUM(F36:F42)</f>
        <v/>
      </c>
      <c r="G43" s="21">
        <f>SUM(G36:G42)</f>
        <v/>
      </c>
      <c r="H43" s="21">
        <f>SUM(H36:H42)</f>
        <v/>
      </c>
      <c r="I43" s="21">
        <f>SUM(I36:I42)</f>
        <v/>
      </c>
      <c r="J43" s="21">
        <f>SUM(J36:J42)</f>
        <v/>
      </c>
      <c r="K43" s="21">
        <f>SUM(K36:K42)</f>
        <v/>
      </c>
      <c r="L43" s="21">
        <f>SUM(L36:L42)</f>
        <v/>
      </c>
      <c r="M43" s="21">
        <f>SUM(M36:M42)</f>
        <v/>
      </c>
      <c r="N43" s="21">
        <f>SUM(N36:N42)</f>
        <v/>
      </c>
      <c r="O43" s="21">
        <f>SUM(O36:O42)</f>
        <v/>
      </c>
      <c r="P43" s="22">
        <f>SUM(P36:P42)</f>
        <v/>
      </c>
    </row>
    <row r="44">
      <c r="A44" s="16" t="inlineStr">
        <is>
          <t>TAS</t>
        </is>
      </c>
      <c r="B44" s="17" t="inlineStr">
        <is>
          <t>Beef &amp; Veal</t>
        </is>
      </c>
      <c r="C44" s="18" t="n">
        <v>0</v>
      </c>
      <c r="D44" s="18" t="n">
        <v>0</v>
      </c>
      <c r="E44" s="18" t="n">
        <v>0</v>
      </c>
      <c r="F44" s="18" t="n">
        <v>58.95316</v>
      </c>
      <c r="G44" s="18" t="n">
        <v>147.88516</v>
      </c>
      <c r="H44" s="18" t="n">
        <v>86.58848</v>
      </c>
      <c r="I44" s="18" t="n">
        <v>31.6839</v>
      </c>
      <c r="J44" s="18" t="n">
        <v>27.82473</v>
      </c>
      <c r="K44" s="18" t="n">
        <v>60.24305999999999</v>
      </c>
      <c r="L44" s="18" t="n">
        <v>31.20896</v>
      </c>
      <c r="M44" s="18" t="n">
        <v>373.00327</v>
      </c>
      <c r="N44" s="18" t="n">
        <v>30.85835</v>
      </c>
      <c r="O44" s="18" t="n">
        <v>59.24819</v>
      </c>
      <c r="P44" s="19" t="n">
        <v>907.49726</v>
      </c>
    </row>
    <row r="45">
      <c r="A45" s="16" t="inlineStr">
        <is>
          <t>TAS</t>
        </is>
      </c>
      <c r="B45" s="17" t="inlineStr">
        <is>
          <t>Buffalo</t>
        </is>
      </c>
      <c r="C45" s="18" t="n">
        <v>0</v>
      </c>
      <c r="D45" s="18" t="n">
        <v>0</v>
      </c>
      <c r="E45" s="18" t="n">
        <v>0</v>
      </c>
      <c r="F45" s="18" t="n">
        <v>0</v>
      </c>
      <c r="G45" s="18" t="n">
        <v>0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0</v>
      </c>
      <c r="M45" s="18" t="n">
        <v>0</v>
      </c>
      <c r="N45" s="18" t="n">
        <v>0</v>
      </c>
      <c r="O45" s="18" t="n">
        <v>0</v>
      </c>
      <c r="P45" s="19" t="n">
        <v>0</v>
      </c>
    </row>
    <row r="46">
      <c r="A46" s="16" t="inlineStr">
        <is>
          <t>TAS</t>
        </is>
      </c>
      <c r="B46" s="17" t="inlineStr">
        <is>
          <t>Mutton</t>
        </is>
      </c>
      <c r="C46" s="18" t="n">
        <v>0</v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0</v>
      </c>
      <c r="I46" s="18" t="n">
        <v>0</v>
      </c>
      <c r="J46" s="18" t="n">
        <v>0</v>
      </c>
      <c r="K46" s="18" t="n">
        <v>0</v>
      </c>
      <c r="L46" s="18" t="n">
        <v>0</v>
      </c>
      <c r="M46" s="18" t="n">
        <v>0</v>
      </c>
      <c r="N46" s="18" t="n">
        <v>825.5864</v>
      </c>
      <c r="O46" s="18" t="n">
        <v>0</v>
      </c>
      <c r="P46" s="19" t="n">
        <v>825.5864</v>
      </c>
    </row>
    <row r="47">
      <c r="A47" s="16" t="inlineStr">
        <is>
          <t>TAS</t>
        </is>
      </c>
      <c r="B47" s="17" t="inlineStr">
        <is>
          <t>Lamb</t>
        </is>
      </c>
      <c r="C47" s="18" t="n">
        <v>0</v>
      </c>
      <c r="D47" s="18" t="n">
        <v>0</v>
      </c>
      <c r="E47" s="18" t="n">
        <v>0</v>
      </c>
      <c r="F47" s="18" t="n">
        <v>0</v>
      </c>
      <c r="G47" s="18" t="n">
        <v>0</v>
      </c>
      <c r="H47" s="18" t="n">
        <v>0</v>
      </c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1916.45415</v>
      </c>
      <c r="O47" s="18" t="n">
        <v>1.8437</v>
      </c>
      <c r="P47" s="19" t="n">
        <v>1918.29785</v>
      </c>
    </row>
    <row r="48">
      <c r="A48" s="16" t="inlineStr">
        <is>
          <t>TAS</t>
        </is>
      </c>
      <c r="B48" s="17" t="inlineStr">
        <is>
          <t>Goat</t>
        </is>
      </c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8" t="n">
        <v>0</v>
      </c>
      <c r="N48" s="18" t="n">
        <v>0</v>
      </c>
      <c r="O48" s="18" t="n">
        <v>0</v>
      </c>
      <c r="P48" s="19" t="n">
        <v>0</v>
      </c>
    </row>
    <row r="49">
      <c r="A49" s="16" t="inlineStr">
        <is>
          <t>TAS</t>
        </is>
      </c>
      <c r="B49" s="17" t="inlineStr">
        <is>
          <t>Pork</t>
        </is>
      </c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9" t="n">
        <v>0</v>
      </c>
    </row>
    <row r="50">
      <c r="A50" s="16" t="inlineStr">
        <is>
          <t>TAS</t>
        </is>
      </c>
      <c r="B50" s="17" t="inlineStr">
        <is>
          <t>Fancy Meats</t>
        </is>
      </c>
      <c r="C50" s="18" t="n">
        <v>0</v>
      </c>
      <c r="D50" s="18" t="n">
        <v>0</v>
      </c>
      <c r="E50" s="18" t="n">
        <v>0</v>
      </c>
      <c r="F50" s="18" t="n">
        <v>1.0268</v>
      </c>
      <c r="G50" s="18" t="n">
        <v>8.60712</v>
      </c>
      <c r="H50" s="18" t="n">
        <v>0</v>
      </c>
      <c r="I50" s="18" t="n">
        <v>0</v>
      </c>
      <c r="J50" s="18" t="n">
        <v>0.23854</v>
      </c>
      <c r="K50" s="18" t="n">
        <v>0.1603</v>
      </c>
      <c r="L50" s="18" t="n">
        <v>16.0319</v>
      </c>
      <c r="M50" s="18" t="n">
        <v>11.06743</v>
      </c>
      <c r="N50" s="18" t="n">
        <v>0</v>
      </c>
      <c r="O50" s="18" t="n">
        <v>1.23346</v>
      </c>
      <c r="P50" s="19" t="n">
        <v>38.36555000000001</v>
      </c>
    </row>
    <row r="51">
      <c r="A51" s="16" t="inlineStr">
        <is>
          <t>TAS</t>
        </is>
      </c>
      <c r="B51" s="20" t="inlineStr">
        <is>
          <t xml:space="preserve">Total </t>
        </is>
      </c>
      <c r="C51" s="21">
        <f>SUM(C44:C50)</f>
        <v/>
      </c>
      <c r="D51" s="21">
        <f>SUM(D44:D50)</f>
        <v/>
      </c>
      <c r="E51" s="21">
        <f>SUM(E44:E50)</f>
        <v/>
      </c>
      <c r="F51" s="21">
        <f>SUM(F44:F50)</f>
        <v/>
      </c>
      <c r="G51" s="21">
        <f>SUM(G44:G50)</f>
        <v/>
      </c>
      <c r="H51" s="21">
        <f>SUM(H44:H50)</f>
        <v/>
      </c>
      <c r="I51" s="21">
        <f>SUM(I44:I50)</f>
        <v/>
      </c>
      <c r="J51" s="21">
        <f>SUM(J44:J50)</f>
        <v/>
      </c>
      <c r="K51" s="21">
        <f>SUM(K44:K50)</f>
        <v/>
      </c>
      <c r="L51" s="21">
        <f>SUM(L44:L50)</f>
        <v/>
      </c>
      <c r="M51" s="21">
        <f>SUM(M44:M50)</f>
        <v/>
      </c>
      <c r="N51" s="21">
        <f>SUM(N44:N50)</f>
        <v/>
      </c>
      <c r="O51" s="21">
        <f>SUM(O44:O50)</f>
        <v/>
      </c>
      <c r="P51" s="22">
        <f>SUM(P44:P50)</f>
        <v/>
      </c>
    </row>
    <row r="52">
      <c r="A52" s="16" t="inlineStr">
        <is>
          <t>NT</t>
        </is>
      </c>
      <c r="B52" s="17" t="inlineStr">
        <is>
          <t>Beef &amp; Veal</t>
        </is>
      </c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9" t="n">
        <v>0</v>
      </c>
    </row>
    <row r="53">
      <c r="A53" s="16" t="inlineStr">
        <is>
          <t>NT</t>
        </is>
      </c>
      <c r="B53" s="17" t="inlineStr">
        <is>
          <t>Buffalo</t>
        </is>
      </c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9" t="n">
        <v>0</v>
      </c>
    </row>
    <row r="54">
      <c r="A54" s="16" t="inlineStr">
        <is>
          <t>NT</t>
        </is>
      </c>
      <c r="B54" s="17" t="inlineStr">
        <is>
          <t>Mutton</t>
        </is>
      </c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  <c r="P54" s="19" t="n">
        <v>0</v>
      </c>
    </row>
    <row r="55">
      <c r="A55" s="16" t="inlineStr">
        <is>
          <t>NT</t>
        </is>
      </c>
      <c r="B55" s="17" t="inlineStr">
        <is>
          <t>Lamb</t>
        </is>
      </c>
      <c r="C55" s="18" t="n">
        <v>0</v>
      </c>
      <c r="D55" s="18" t="n">
        <v>0</v>
      </c>
      <c r="E55" s="18" t="n">
        <v>0</v>
      </c>
      <c r="F55" s="18" t="n">
        <v>0</v>
      </c>
      <c r="G55" s="18" t="n">
        <v>0</v>
      </c>
      <c r="H55" s="18" t="n">
        <v>0</v>
      </c>
      <c r="I55" s="18" t="n">
        <v>0</v>
      </c>
      <c r="J55" s="18" t="n">
        <v>0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9" t="n">
        <v>0</v>
      </c>
    </row>
    <row r="56">
      <c r="A56" s="16" t="inlineStr">
        <is>
          <t>NT</t>
        </is>
      </c>
      <c r="B56" s="17" t="inlineStr">
        <is>
          <t>Goat</t>
        </is>
      </c>
      <c r="C56" s="18" t="n">
        <v>0</v>
      </c>
      <c r="D56" s="18" t="n">
        <v>0</v>
      </c>
      <c r="E56" s="18" t="n">
        <v>0</v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9" t="n">
        <v>0</v>
      </c>
    </row>
    <row r="57">
      <c r="A57" s="16" t="inlineStr">
        <is>
          <t>NT</t>
        </is>
      </c>
      <c r="B57" s="17" t="inlineStr">
        <is>
          <t>Pork</t>
        </is>
      </c>
      <c r="C57" s="18" t="n">
        <v>0</v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0.50556</v>
      </c>
      <c r="P57" s="19" t="n">
        <v>0.50556</v>
      </c>
    </row>
    <row r="58">
      <c r="A58" s="16" t="inlineStr">
        <is>
          <t>NT</t>
        </is>
      </c>
      <c r="B58" s="17" t="inlineStr">
        <is>
          <t>Fancy Meats</t>
        </is>
      </c>
      <c r="C58" s="18" t="n">
        <v>0</v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9" t="n">
        <v>0</v>
      </c>
    </row>
    <row r="59">
      <c r="A59" s="16" t="inlineStr">
        <is>
          <t>NT</t>
        </is>
      </c>
      <c r="B59" s="20" t="inlineStr">
        <is>
          <t xml:space="preserve">Total </t>
        </is>
      </c>
      <c r="C59" s="21">
        <f>SUM(C52:C58)</f>
        <v/>
      </c>
      <c r="D59" s="21">
        <f>SUM(D52:D58)</f>
        <v/>
      </c>
      <c r="E59" s="21">
        <f>SUM(E52:E58)</f>
        <v/>
      </c>
      <c r="F59" s="21">
        <f>SUM(F52:F58)</f>
        <v/>
      </c>
      <c r="G59" s="21">
        <f>SUM(G52:G58)</f>
        <v/>
      </c>
      <c r="H59" s="21">
        <f>SUM(H52:H58)</f>
        <v/>
      </c>
      <c r="I59" s="21">
        <f>SUM(I52:I58)</f>
        <v/>
      </c>
      <c r="J59" s="21">
        <f>SUM(J52:J58)</f>
        <v/>
      </c>
      <c r="K59" s="21">
        <f>SUM(K52:K58)</f>
        <v/>
      </c>
      <c r="L59" s="21">
        <f>SUM(L52:L58)</f>
        <v/>
      </c>
      <c r="M59" s="21">
        <f>SUM(M52:M58)</f>
        <v/>
      </c>
      <c r="N59" s="21">
        <f>SUM(N52:N58)</f>
        <v/>
      </c>
      <c r="O59" s="21">
        <f>SUM(O52:O58)</f>
        <v/>
      </c>
      <c r="P59" s="22">
        <f>SUM(P52:P58)</f>
        <v/>
      </c>
    </row>
    <row r="60">
      <c r="A60" s="16" t="inlineStr">
        <is>
          <t>AUS</t>
        </is>
      </c>
      <c r="B60" s="17" t="inlineStr">
        <is>
          <t>Beef &amp; Veal</t>
        </is>
      </c>
      <c r="C60" s="18" t="n">
        <v>901.76954</v>
      </c>
      <c r="D60" s="18" t="n">
        <v>806.8878</v>
      </c>
      <c r="E60" s="18" t="n">
        <v>15.35228</v>
      </c>
      <c r="F60" s="18" t="n">
        <v>446.83392</v>
      </c>
      <c r="G60" s="18" t="n">
        <v>985.7619099999999</v>
      </c>
      <c r="H60" s="18" t="n">
        <v>157.4883</v>
      </c>
      <c r="I60" s="18" t="n">
        <v>70.68259999999999</v>
      </c>
      <c r="J60" s="18" t="n">
        <v>551.2061</v>
      </c>
      <c r="K60" s="18" t="n">
        <v>1722.56585</v>
      </c>
      <c r="L60" s="18" t="n">
        <v>789.6822200000001</v>
      </c>
      <c r="M60" s="18" t="n">
        <v>15574.138952</v>
      </c>
      <c r="N60" s="18" t="n">
        <v>4644.08486</v>
      </c>
      <c r="O60" s="18" t="n">
        <v>610.1564540000001</v>
      </c>
      <c r="P60" s="19" t="n">
        <v>27276.610786</v>
      </c>
    </row>
    <row r="61">
      <c r="A61" s="16" t="inlineStr">
        <is>
          <t>AUS</t>
        </is>
      </c>
      <c r="B61" s="17" t="inlineStr">
        <is>
          <t>Buffalo</t>
        </is>
      </c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0.042</v>
      </c>
      <c r="M61" s="18" t="n">
        <v>0</v>
      </c>
      <c r="N61" s="18" t="n">
        <v>0</v>
      </c>
      <c r="O61" s="18" t="n">
        <v>0</v>
      </c>
      <c r="P61" s="19" t="n">
        <v>0.042</v>
      </c>
    </row>
    <row r="62">
      <c r="A62" s="16" t="inlineStr">
        <is>
          <t>AUS</t>
        </is>
      </c>
      <c r="B62" s="17" t="inlineStr">
        <is>
          <t>Mutton</t>
        </is>
      </c>
      <c r="C62" s="18" t="n">
        <v>1.59719</v>
      </c>
      <c r="D62" s="18" t="n">
        <v>16.56757</v>
      </c>
      <c r="E62" s="18" t="n">
        <v>0</v>
      </c>
      <c r="F62" s="18" t="n">
        <v>0.10164</v>
      </c>
      <c r="G62" s="18" t="n">
        <v>0.2173</v>
      </c>
      <c r="H62" s="18" t="n">
        <v>0</v>
      </c>
      <c r="I62" s="18" t="n">
        <v>0</v>
      </c>
      <c r="J62" s="18" t="n">
        <v>67.52101999999999</v>
      </c>
      <c r="K62" s="18" t="n">
        <v>3.16352</v>
      </c>
      <c r="L62" s="18" t="n">
        <v>5.232560000000001</v>
      </c>
      <c r="M62" s="18" t="n">
        <v>395.5986500000001</v>
      </c>
      <c r="N62" s="18" t="n">
        <v>7665.68178</v>
      </c>
      <c r="O62" s="18" t="n">
        <v>7.13237</v>
      </c>
      <c r="P62" s="19" t="n">
        <v>8162.813599999999</v>
      </c>
    </row>
    <row r="63">
      <c r="A63" s="16" t="inlineStr">
        <is>
          <t>AUS</t>
        </is>
      </c>
      <c r="B63" s="17" t="inlineStr">
        <is>
          <t>Lamb</t>
        </is>
      </c>
      <c r="C63" s="18" t="n">
        <v>224.27468</v>
      </c>
      <c r="D63" s="18" t="n">
        <v>1067.21397</v>
      </c>
      <c r="E63" s="18" t="n">
        <v>1.28228</v>
      </c>
      <c r="F63" s="18" t="n">
        <v>220.10586</v>
      </c>
      <c r="G63" s="18" t="n">
        <v>675.2766900000001</v>
      </c>
      <c r="H63" s="18" t="n">
        <v>364.43987</v>
      </c>
      <c r="I63" s="18" t="n">
        <v>123.21857</v>
      </c>
      <c r="J63" s="18" t="n">
        <v>330.65795</v>
      </c>
      <c r="K63" s="18" t="n">
        <v>737.08816</v>
      </c>
      <c r="L63" s="18" t="n">
        <v>369.044828</v>
      </c>
      <c r="M63" s="18" t="n">
        <v>2175.88502</v>
      </c>
      <c r="N63" s="18" t="n">
        <v>53657.15053000001</v>
      </c>
      <c r="O63" s="18" t="n">
        <v>245.97136</v>
      </c>
      <c r="P63" s="19" t="n">
        <v>60191.60976799999</v>
      </c>
    </row>
    <row r="64">
      <c r="A64" s="16" t="inlineStr">
        <is>
          <t>AUS</t>
        </is>
      </c>
      <c r="B64" s="17" t="inlineStr">
        <is>
          <t>Goat</t>
        </is>
      </c>
      <c r="C64" s="18" t="n">
        <v>0</v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1.75744</v>
      </c>
      <c r="M64" s="18" t="n">
        <v>14.79727</v>
      </c>
      <c r="N64" s="18" t="n">
        <v>0</v>
      </c>
      <c r="O64" s="18" t="n">
        <v>1.07663</v>
      </c>
      <c r="P64" s="19" t="n">
        <v>17.63134</v>
      </c>
    </row>
    <row r="65">
      <c r="A65" s="16" t="inlineStr">
        <is>
          <t>AUS</t>
        </is>
      </c>
      <c r="B65" s="17" t="inlineStr">
        <is>
          <t>Pork</t>
        </is>
      </c>
      <c r="C65" s="18" t="n">
        <v>0</v>
      </c>
      <c r="D65" s="18" t="n">
        <v>0</v>
      </c>
      <c r="E65" s="18" t="n">
        <v>0</v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8.729920999999999</v>
      </c>
      <c r="K65" s="18" t="n">
        <v>0.2098</v>
      </c>
      <c r="L65" s="18" t="n">
        <v>0</v>
      </c>
      <c r="M65" s="18" t="n">
        <v>12253.986554</v>
      </c>
      <c r="N65" s="18" t="n">
        <v>1.21357</v>
      </c>
      <c r="O65" s="18" t="n">
        <v>34.299107</v>
      </c>
      <c r="P65" s="19" t="n">
        <v>12298.43895199999</v>
      </c>
    </row>
    <row r="66">
      <c r="A66" s="16" t="inlineStr">
        <is>
          <t>AUS</t>
        </is>
      </c>
      <c r="B66" s="17" t="inlineStr">
        <is>
          <t>Fancy Meats</t>
        </is>
      </c>
      <c r="C66" s="18" t="n">
        <v>2.42128</v>
      </c>
      <c r="D66" s="18" t="n">
        <v>0</v>
      </c>
      <c r="E66" s="18" t="n">
        <v>0</v>
      </c>
      <c r="F66" s="18" t="n">
        <v>1.57865</v>
      </c>
      <c r="G66" s="18" t="n">
        <v>55.63948000000001</v>
      </c>
      <c r="H66" s="18" t="n">
        <v>1.63489</v>
      </c>
      <c r="I66" s="18" t="n">
        <v>0.5993000000000001</v>
      </c>
      <c r="J66" s="18" t="n">
        <v>677.7769599999999</v>
      </c>
      <c r="K66" s="18" t="n">
        <v>1037.18415</v>
      </c>
      <c r="L66" s="18" t="n">
        <v>170.49091</v>
      </c>
      <c r="M66" s="18" t="n">
        <v>1391.606156</v>
      </c>
      <c r="N66" s="18" t="n">
        <v>1089.00561</v>
      </c>
      <c r="O66" s="18" t="n">
        <v>12.70081</v>
      </c>
      <c r="P66" s="19" t="n">
        <v>4440.638196000001</v>
      </c>
    </row>
    <row r="67">
      <c r="A67" s="8" t="inlineStr">
        <is>
          <t>AUS</t>
        </is>
      </c>
      <c r="B67" s="20" t="inlineStr">
        <is>
          <t xml:space="preserve">Total </t>
        </is>
      </c>
      <c r="C67" s="21">
        <f>SUM(C60:C66)</f>
        <v/>
      </c>
      <c r="D67" s="21">
        <f>SUM(D60:D66)</f>
        <v/>
      </c>
      <c r="E67" s="21">
        <f>SUM(E60:E66)</f>
        <v/>
      </c>
      <c r="F67" s="21">
        <f>SUM(F60:F66)</f>
        <v/>
      </c>
      <c r="G67" s="21">
        <f>SUM(G60:G66)</f>
        <v/>
      </c>
      <c r="H67" s="21">
        <f>SUM(H60:H66)</f>
        <v/>
      </c>
      <c r="I67" s="21">
        <f>SUM(I60:I66)</f>
        <v/>
      </c>
      <c r="J67" s="21">
        <f>SUM(J60:J66)</f>
        <v/>
      </c>
      <c r="K67" s="21">
        <f>SUM(K60:K66)</f>
        <v/>
      </c>
      <c r="L67" s="21">
        <f>SUM(L60:L66)</f>
        <v/>
      </c>
      <c r="M67" s="21">
        <f>SUM(M60:M66)</f>
        <v/>
      </c>
      <c r="N67" s="21">
        <f>SUM(N60:N66)</f>
        <v/>
      </c>
      <c r="O67" s="21">
        <f>SUM(O60:O66)</f>
        <v/>
      </c>
      <c r="P67" s="22">
        <f>SUM(P60:P66)</f>
        <v/>
      </c>
    </row>
    <row r="68">
      <c r="A68" s="23" t="inlineStr">
        <is>
          <t xml:space="preserve">Note: Components May Not Add to Totals Due to Rounding </t>
        </is>
      </c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2026-05-04T14:17:21Z</dcterms:created>
  <dcterms:modified xsi:type="dcterms:W3CDTF">2026-05-04T14:17:21Z</dcterms:modified>
</cp:coreProperties>
</file>