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;@"/>
  </numFmts>
  <fonts count="5">
    <font>
      <name val="Calibri"/>
      <family val="2"/>
      <color theme="1"/>
      <sz val="11"/>
      <scheme val="minor"/>
    </font>
    <font>
      <b val="1"/>
      <sz val="14"/>
    </font>
    <font>
      <name val="Times New Roman"/>
      <b val="1"/>
      <sz val="12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10" fontId="0" fillId="0" borderId="0" pivotButton="0" quotePrefix="0" xfId="0"/>
    <xf numFmtId="0" fontId="4" fillId="0" borderId="0" pivotButton="0" quotePrefix="0" xfId="0"/>
    <xf numFmtId="10" fontId="4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4.7109375" customWidth="1" min="1" max="1"/>
    <col width="14.5703125" customWidth="1" min="2" max="2"/>
    <col width="5.7109375" customWidth="1" min="3" max="3"/>
    <col width="4.85546875" customWidth="1" min="4" max="4"/>
    <col width="10.85546875" customWidth="1" min="5" max="5"/>
    <col width="4.7109375" customWidth="1" min="6" max="6"/>
    <col width="4" bestFit="1" customWidth="1" min="7" max="7"/>
    <col width="4.28515625" customWidth="1" min="8" max="8"/>
    <col width="13.7109375" customWidth="1" min="9" max="9"/>
    <col width="6.140625" customWidth="1" min="10" max="10"/>
    <col width="6.7109375" customWidth="1" min="11" max="11"/>
    <col width="10.42578125" customWidth="1" min="12" max="12"/>
    <col width="4" customWidth="1" min="13" max="13"/>
    <col width="12.42578125" bestFit="1" customWidth="1" min="16" max="16"/>
    <col width="2" bestFit="1" customWidth="1" min="17" max="17"/>
    <col width="7.7109375" bestFit="1" customWidth="1" min="19" max="19"/>
    <col width="2" bestFit="1" customWidth="1" min="20" max="20"/>
  </cols>
  <sheetData>
    <row r="1" ht="18.75" customHeight="1">
      <c r="A1" s="1" t="inlineStr">
        <is>
          <t>AMERICAN LEGION AUXILIARY, DEPARTMENT OF CT, MEMBERSHIP REPORT</t>
        </is>
      </c>
      <c r="B1" s="1" t="n"/>
    </row>
    <row r="2" ht="18.75" customHeight="1">
      <c r="A2" s="1" t="n"/>
      <c r="B2" s="2" t="inlineStr">
        <is>
          <t>10/29/2024</t>
        </is>
      </c>
      <c r="E2" s="3" t="inlineStr">
        <is>
          <t>2025 Membership</t>
        </is>
      </c>
    </row>
    <row r="3" ht="15.75" customHeight="1">
      <c r="A3" s="4" t="inlineStr">
        <is>
          <t>FIRST DISTRICT - HARTFORD COUNTY</t>
        </is>
      </c>
      <c r="B3" s="4" t="n"/>
      <c r="H3" s="4" t="inlineStr">
        <is>
          <t>SECOND DISTRICT - NEW HAVEN  COUNTY</t>
        </is>
      </c>
      <c r="I3" s="4" t="n"/>
    </row>
    <row r="4">
      <c r="A4" s="5" t="n">
        <v>15</v>
      </c>
      <c r="B4" s="5" t="inlineStr">
        <is>
          <t>UNIT</t>
        </is>
      </c>
      <c r="C4" s="5" t="inlineStr">
        <is>
          <t>GOAL</t>
        </is>
      </c>
      <c r="D4" s="5" t="n">
        <v>2025</v>
      </c>
      <c r="E4" s="6" t="inlineStr">
        <is>
          <t>% OF GOAL</t>
        </is>
      </c>
      <c r="H4" s="5" t="n">
        <v>19</v>
      </c>
      <c r="I4" s="5" t="inlineStr">
        <is>
          <t>UNIT</t>
        </is>
      </c>
      <c r="J4" s="5" t="inlineStr">
        <is>
          <t>GOAL</t>
        </is>
      </c>
      <c r="K4" s="5" t="n">
        <v>2025</v>
      </c>
      <c r="L4" s="5" t="inlineStr">
        <is>
          <t>% OF GOAL</t>
        </is>
      </c>
    </row>
    <row r="5">
      <c r="A5" t="n">
        <v>2</v>
      </c>
      <c r="B5" t="inlineStr">
        <is>
          <t>Bristol</t>
        </is>
      </c>
      <c r="C5" t="n">
        <v>90</v>
      </c>
      <c r="D5" t="n">
        <v>30</v>
      </c>
      <c r="E5" s="7">
        <f>SUM(D5/C5)</f>
        <v/>
      </c>
      <c r="H5" t="n">
        <v>10</v>
      </c>
      <c r="I5" t="inlineStr">
        <is>
          <t>Seymour</t>
        </is>
      </c>
      <c r="J5" t="n">
        <v>23</v>
      </c>
      <c r="K5" t="n">
        <v>22</v>
      </c>
      <c r="L5">
        <f>SUM(K5/J5)</f>
        <v/>
      </c>
    </row>
    <row r="6">
      <c r="A6" t="n">
        <v>23</v>
      </c>
      <c r="B6" t="inlineStr">
        <is>
          <t>Wethersfield</t>
        </is>
      </c>
      <c r="C6" t="n">
        <v>17</v>
      </c>
      <c r="D6" t="n">
        <v>0</v>
      </c>
      <c r="E6" s="7">
        <f>SUM(D6/C6)</f>
        <v/>
      </c>
      <c r="H6" t="n">
        <v>17</v>
      </c>
      <c r="I6" t="inlineStr">
        <is>
          <t>Naugatuck</t>
        </is>
      </c>
      <c r="J6" t="n">
        <v>46</v>
      </c>
      <c r="K6" t="n">
        <v>35</v>
      </c>
      <c r="L6">
        <f>SUM(K6/J6)</f>
        <v/>
      </c>
    </row>
    <row r="7">
      <c r="A7" t="n">
        <v>33</v>
      </c>
      <c r="B7" t="inlineStr">
        <is>
          <t>Plainville</t>
        </is>
      </c>
      <c r="C7" t="n">
        <v>16</v>
      </c>
      <c r="D7" t="n">
        <v>0</v>
      </c>
      <c r="E7" s="7">
        <f>SUM(D7/C7)</f>
        <v/>
      </c>
      <c r="H7" t="n">
        <v>24</v>
      </c>
      <c r="I7" t="inlineStr">
        <is>
          <t>Derby</t>
        </is>
      </c>
      <c r="J7" t="n">
        <v>15</v>
      </c>
      <c r="K7" t="n">
        <v>13</v>
      </c>
      <c r="L7">
        <f>SUM(K7/J7)</f>
        <v/>
      </c>
    </row>
    <row r="8">
      <c r="A8" t="n">
        <v>36</v>
      </c>
      <c r="B8" t="inlineStr">
        <is>
          <t>Windsor Locks</t>
        </is>
      </c>
      <c r="C8" t="n">
        <v>30</v>
      </c>
      <c r="D8" t="n">
        <v>13</v>
      </c>
      <c r="E8" s="7">
        <f>SUM(D8/C8)</f>
        <v/>
      </c>
      <c r="H8" t="n">
        <v>45</v>
      </c>
      <c r="I8" t="inlineStr">
        <is>
          <t>Meriden</t>
        </is>
      </c>
      <c r="J8" t="n">
        <v>103</v>
      </c>
      <c r="K8" t="n">
        <v>69</v>
      </c>
      <c r="L8">
        <f>SUM(K8/J8)</f>
        <v/>
      </c>
    </row>
    <row r="9">
      <c r="A9" t="n">
        <v>56</v>
      </c>
      <c r="B9" t="inlineStr">
        <is>
          <t>Glastonbury</t>
        </is>
      </c>
      <c r="C9" t="n">
        <v>14</v>
      </c>
      <c r="D9" t="n">
        <v>2</v>
      </c>
      <c r="E9" s="7">
        <f>SUM(D9/C9)</f>
        <v/>
      </c>
      <c r="H9" t="n">
        <v>48</v>
      </c>
      <c r="I9" t="inlineStr">
        <is>
          <t>Guilford</t>
        </is>
      </c>
      <c r="J9" t="n">
        <v>33</v>
      </c>
      <c r="K9" t="n">
        <v>28</v>
      </c>
      <c r="L9">
        <f>SUM(K9/J9)</f>
        <v/>
      </c>
    </row>
    <row r="10">
      <c r="A10" t="n">
        <v>68</v>
      </c>
      <c r="B10" t="inlineStr">
        <is>
          <t>Berlin</t>
        </is>
      </c>
      <c r="C10" t="n">
        <v>59</v>
      </c>
      <c r="D10" t="n">
        <v>22</v>
      </c>
      <c r="E10" s="7">
        <f>SUM(D10/C10)</f>
        <v/>
      </c>
      <c r="H10" t="n">
        <v>50</v>
      </c>
      <c r="I10" t="inlineStr">
        <is>
          <t>Ansonia</t>
        </is>
      </c>
      <c r="J10" t="n">
        <v>10</v>
      </c>
      <c r="K10" t="n">
        <v>0</v>
      </c>
      <c r="L10">
        <f>SUM(K10/J10)</f>
        <v/>
      </c>
    </row>
    <row r="11">
      <c r="A11" t="n">
        <v>72</v>
      </c>
      <c r="B11" t="inlineStr">
        <is>
          <t>Southington</t>
        </is>
      </c>
      <c r="C11" t="n">
        <v>214</v>
      </c>
      <c r="D11" t="n">
        <v>87</v>
      </c>
      <c r="E11" s="7">
        <f>SUM(D11/C11)</f>
        <v/>
      </c>
      <c r="H11" t="n">
        <v>71</v>
      </c>
      <c r="I11" t="inlineStr">
        <is>
          <t>West Haven</t>
        </is>
      </c>
      <c r="J11" t="n">
        <v>28</v>
      </c>
      <c r="K11" t="n">
        <v>17</v>
      </c>
      <c r="L11">
        <f>SUM(K11/J11)</f>
        <v/>
      </c>
    </row>
    <row r="12">
      <c r="A12" t="n">
        <v>80</v>
      </c>
      <c r="B12" t="inlineStr">
        <is>
          <t>Enfield</t>
        </is>
      </c>
      <c r="C12" t="n">
        <v>41</v>
      </c>
      <c r="D12" t="n">
        <v>31</v>
      </c>
      <c r="E12" s="7">
        <f>SUM(D12/C12)</f>
        <v/>
      </c>
      <c r="H12" t="n">
        <v>73</v>
      </c>
      <c r="I12" t="inlineStr">
        <is>
          <t>Wallingford</t>
        </is>
      </c>
      <c r="J12" t="n">
        <v>10</v>
      </c>
      <c r="K12" t="n">
        <v>0</v>
      </c>
      <c r="L12">
        <f>SUM(K12/J12)</f>
        <v/>
      </c>
    </row>
    <row r="13">
      <c r="A13" t="n">
        <v>96</v>
      </c>
      <c r="B13" t="inlineStr">
        <is>
          <t>West Hartford</t>
        </is>
      </c>
      <c r="C13" t="n">
        <v>34</v>
      </c>
      <c r="D13" t="n">
        <v>25</v>
      </c>
      <c r="E13" s="7">
        <f>SUM(D13/C13)</f>
        <v/>
      </c>
      <c r="H13" t="n">
        <v>79</v>
      </c>
      <c r="I13" t="inlineStr">
        <is>
          <t>Madison</t>
        </is>
      </c>
      <c r="J13" t="n">
        <v>20</v>
      </c>
      <c r="K13" t="n">
        <v>18</v>
      </c>
      <c r="L13">
        <f>SUM(K13/J13)</f>
        <v/>
      </c>
    </row>
    <row r="14">
      <c r="A14" t="n">
        <v>102</v>
      </c>
      <c r="B14" t="inlineStr">
        <is>
          <t>Manchester</t>
        </is>
      </c>
      <c r="C14" t="n">
        <v>46</v>
      </c>
      <c r="D14" t="n">
        <v>12</v>
      </c>
      <c r="E14" s="7">
        <f>SUM(D14/C14)</f>
        <v/>
      </c>
      <c r="H14" t="n">
        <v>83</v>
      </c>
      <c r="I14" t="inlineStr">
        <is>
          <t>Branford</t>
        </is>
      </c>
      <c r="J14" t="n">
        <v>17</v>
      </c>
      <c r="K14" t="n">
        <v>8</v>
      </c>
      <c r="L14">
        <f>SUM(K14/J14)</f>
        <v/>
      </c>
    </row>
    <row r="15">
      <c r="A15" t="n">
        <v>133</v>
      </c>
      <c r="B15" t="inlineStr">
        <is>
          <t>South Windsor</t>
        </is>
      </c>
      <c r="C15" t="n">
        <v>24</v>
      </c>
      <c r="D15" t="n">
        <v>1</v>
      </c>
      <c r="E15" s="7">
        <f>SUM(D15/C15)</f>
        <v/>
      </c>
      <c r="H15" t="n">
        <v>88</v>
      </c>
      <c r="I15" t="inlineStr">
        <is>
          <t>Hamden</t>
        </is>
      </c>
      <c r="J15" t="n">
        <v>18</v>
      </c>
      <c r="K15" t="n">
        <v>11</v>
      </c>
      <c r="L15">
        <f>SUM(K15/J15)</f>
        <v/>
      </c>
    </row>
    <row r="16">
      <c r="A16" t="n">
        <v>142</v>
      </c>
      <c r="B16" t="inlineStr">
        <is>
          <t>Hartford</t>
        </is>
      </c>
      <c r="C16" t="n">
        <v>44</v>
      </c>
      <c r="D16" t="n">
        <v>2</v>
      </c>
      <c r="E16" s="7">
        <f>SUM(D16/C16)</f>
        <v/>
      </c>
      <c r="H16" t="n">
        <v>89</v>
      </c>
      <c r="I16" t="inlineStr">
        <is>
          <t>East Haven</t>
        </is>
      </c>
      <c r="J16" t="n">
        <v>37</v>
      </c>
      <c r="K16" t="n">
        <v>22</v>
      </c>
      <c r="L16">
        <f>SUM(K16/J16)</f>
        <v/>
      </c>
    </row>
    <row r="17">
      <c r="A17" t="n">
        <v>154</v>
      </c>
      <c r="B17" t="inlineStr">
        <is>
          <t>Enfield</t>
        </is>
      </c>
      <c r="C17" t="n">
        <v>36</v>
      </c>
      <c r="D17" t="n">
        <v>29</v>
      </c>
      <c r="E17" s="7">
        <f>SUM(D17/C17)</f>
        <v/>
      </c>
      <c r="H17" t="n">
        <v>127</v>
      </c>
      <c r="I17" t="inlineStr">
        <is>
          <t>Orange</t>
        </is>
      </c>
      <c r="J17" t="n">
        <v>22</v>
      </c>
      <c r="K17" t="n">
        <v>0</v>
      </c>
      <c r="L17">
        <f>SUM(K17/J17)</f>
        <v/>
      </c>
    </row>
    <row r="18">
      <c r="A18" t="n">
        <v>197</v>
      </c>
      <c r="B18" t="inlineStr">
        <is>
          <t>Marlborough</t>
        </is>
      </c>
      <c r="C18" t="n">
        <v>56</v>
      </c>
      <c r="D18" t="n">
        <v>30</v>
      </c>
      <c r="E18" s="7">
        <f>SUM(D18/C18)</f>
        <v/>
      </c>
      <c r="H18" t="n">
        <v>165</v>
      </c>
      <c r="I18" t="inlineStr">
        <is>
          <t>Wolcott</t>
        </is>
      </c>
      <c r="J18" t="n">
        <v>140</v>
      </c>
      <c r="K18" t="n">
        <v>105</v>
      </c>
      <c r="L18">
        <f>SUM(K18/J18)</f>
        <v/>
      </c>
    </row>
    <row r="19">
      <c r="A19" t="n">
        <v>209</v>
      </c>
      <c r="B19" t="inlineStr">
        <is>
          <t>Forestville</t>
        </is>
      </c>
      <c r="C19" t="n">
        <v>28</v>
      </c>
      <c r="D19" t="n">
        <v>8</v>
      </c>
      <c r="E19" s="7">
        <f>SUM(D19/C19)</f>
        <v/>
      </c>
      <c r="H19" t="n">
        <v>174</v>
      </c>
      <c r="I19" t="inlineStr">
        <is>
          <t>Oxford</t>
        </is>
      </c>
      <c r="J19" t="n">
        <v>24</v>
      </c>
      <c r="K19" t="n">
        <v>2</v>
      </c>
      <c r="L19">
        <f>SUM(K19/J19)</f>
        <v/>
      </c>
    </row>
    <row r="20">
      <c r="A20" s="8" t="inlineStr">
        <is>
          <t>TOTAL</t>
        </is>
      </c>
      <c r="B20" s="8" t="n"/>
      <c r="C20" s="8">
        <f>SUM(C5:C19)</f>
        <v/>
      </c>
      <c r="D20" s="8">
        <f>SUM(D5:D19)</f>
        <v/>
      </c>
      <c r="E20" s="9">
        <f>SUM(D20/C20)</f>
        <v/>
      </c>
      <c r="H20" s="4" t="n">
        <v>187</v>
      </c>
      <c r="I20" s="4" t="inlineStr">
        <is>
          <t>Wallingford</t>
        </is>
      </c>
      <c r="J20" t="n">
        <v>17</v>
      </c>
      <c r="K20" t="n">
        <v>0</v>
      </c>
      <c r="L20">
        <f>SUM(K20/J20)</f>
        <v/>
      </c>
    </row>
    <row r="21">
      <c r="H21" s="5" t="n">
        <v>194</v>
      </c>
      <c r="I21" s="5" t="inlineStr">
        <is>
          <t>Prospect</t>
        </is>
      </c>
      <c r="J21" s="5" t="n">
        <v>20</v>
      </c>
      <c r="K21" s="5" t="n">
        <v>15</v>
      </c>
      <c r="L21">
        <f>SUM(K21/J21)</f>
        <v/>
      </c>
    </row>
    <row r="22">
      <c r="H22" t="n">
        <v>196</v>
      </c>
      <c r="I22" t="inlineStr">
        <is>
          <t>Milford</t>
        </is>
      </c>
      <c r="J22" t="n">
        <v>232</v>
      </c>
      <c r="K22" t="n">
        <v>150</v>
      </c>
      <c r="L22">
        <f>SUM(K22/J22)</f>
        <v/>
      </c>
    </row>
    <row r="23">
      <c r="H23" t="n">
        <v>204</v>
      </c>
      <c r="I23" t="inlineStr">
        <is>
          <t>Southbury</t>
        </is>
      </c>
      <c r="J23" t="n">
        <v>24</v>
      </c>
      <c r="K23" t="n">
        <v>14</v>
      </c>
      <c r="L23">
        <f>SUM(K23/J23)</f>
        <v/>
      </c>
    </row>
    <row r="24">
      <c r="H24" s="8" t="inlineStr">
        <is>
          <t>TOTAL</t>
        </is>
      </c>
      <c r="I24" s="8" t="n"/>
      <c r="J24" s="8" t="n">
        <v>839</v>
      </c>
      <c r="K24" s="8" t="n">
        <v>529</v>
      </c>
      <c r="L24" s="8">
        <f>SUM(K24/J24)</f>
        <v/>
      </c>
    </row>
    <row r="27" ht="15.75" customHeight="1">
      <c r="A27" s="4" t="inlineStr">
        <is>
          <t>THIRD DISTRICT - FAIRFIELD  COUNTY</t>
        </is>
      </c>
      <c r="B27" s="4" t="n"/>
      <c r="F27" s="4" t="n"/>
    </row>
    <row r="28" ht="15.75" customHeight="1">
      <c r="A28" s="5" t="n">
        <v>9</v>
      </c>
      <c r="B28" s="5" t="inlineStr">
        <is>
          <t>UNIT</t>
        </is>
      </c>
      <c r="C28" s="5" t="inlineStr">
        <is>
          <t>GOAL</t>
        </is>
      </c>
      <c r="D28" s="5" t="n">
        <v>2025</v>
      </c>
      <c r="E28" s="5" t="inlineStr">
        <is>
          <t>% OF GOAL</t>
        </is>
      </c>
      <c r="F28" s="5" t="n"/>
      <c r="H28" s="4" t="inlineStr">
        <is>
          <t>FOURTH DISTRICT - WINDHAM/TOLLAND COUNTY</t>
        </is>
      </c>
      <c r="I28" s="4" t="n"/>
    </row>
    <row r="29">
      <c r="A29" t="n">
        <v>12</v>
      </c>
      <c r="B29" t="inlineStr">
        <is>
          <t>Norwalk</t>
        </is>
      </c>
      <c r="C29" t="n">
        <v>108</v>
      </c>
      <c r="D29" t="n">
        <v>48</v>
      </c>
      <c r="E29">
        <f>SUM(D29/C29)</f>
        <v/>
      </c>
      <c r="H29" s="5" t="n">
        <v>9</v>
      </c>
      <c r="I29" s="5" t="inlineStr">
        <is>
          <t>UNIT</t>
        </is>
      </c>
      <c r="J29" s="5" t="inlineStr">
        <is>
          <t>GOAL</t>
        </is>
      </c>
      <c r="K29" s="5" t="n">
        <v>2025</v>
      </c>
      <c r="L29" s="5" t="inlineStr">
        <is>
          <t>% OF GOAL</t>
        </is>
      </c>
    </row>
    <row r="30">
      <c r="A30" t="n">
        <v>16</v>
      </c>
      <c r="B30" t="inlineStr">
        <is>
          <t>Shelton</t>
        </is>
      </c>
      <c r="C30" t="n">
        <v>42</v>
      </c>
      <c r="D30" t="n">
        <v>24</v>
      </c>
      <c r="E30">
        <f>SUM(D30/C30)</f>
        <v/>
      </c>
      <c r="H30" t="n">
        <v>13</v>
      </c>
      <c r="I30" t="inlineStr">
        <is>
          <t>Putnam</t>
        </is>
      </c>
      <c r="J30" t="n">
        <v>32</v>
      </c>
      <c r="K30" t="n">
        <v>19</v>
      </c>
      <c r="L30">
        <f>SUM(K30/J30)</f>
        <v/>
      </c>
    </row>
    <row r="31">
      <c r="A31" t="n">
        <v>60</v>
      </c>
      <c r="B31" t="inlineStr">
        <is>
          <t>Danbury</t>
        </is>
      </c>
      <c r="C31" t="n">
        <v>32</v>
      </c>
      <c r="D31" t="n">
        <v>21</v>
      </c>
      <c r="E31">
        <f>SUM(D31/C31)</f>
        <v/>
      </c>
      <c r="H31" t="n">
        <v>14</v>
      </c>
      <c r="I31" t="inlineStr">
        <is>
          <t>Rockville</t>
        </is>
      </c>
      <c r="J31" t="n">
        <v>51</v>
      </c>
      <c r="K31" t="n">
        <v>9</v>
      </c>
      <c r="L31">
        <f>SUM(K31/J31)</f>
        <v/>
      </c>
    </row>
    <row r="32">
      <c r="A32" t="n">
        <v>63</v>
      </c>
      <c r="B32" t="inlineStr">
        <is>
          <t>Westport</t>
        </is>
      </c>
      <c r="C32" t="n">
        <v>31</v>
      </c>
      <c r="D32" t="n">
        <v>5</v>
      </c>
      <c r="E32">
        <f>SUM(D32/C32)</f>
        <v/>
      </c>
      <c r="H32" t="n">
        <v>19</v>
      </c>
      <c r="I32" t="inlineStr">
        <is>
          <t>Willimantic</t>
        </is>
      </c>
      <c r="J32" t="n">
        <v>34</v>
      </c>
      <c r="K32" t="n">
        <v>14</v>
      </c>
      <c r="L32">
        <f>SUM(K32/J32)</f>
        <v/>
      </c>
    </row>
    <row r="33">
      <c r="A33" t="n">
        <v>74</v>
      </c>
      <c r="B33" t="inlineStr">
        <is>
          <t>Fairfield</t>
        </is>
      </c>
      <c r="C33" t="n">
        <v>10</v>
      </c>
      <c r="D33" t="n">
        <v>2</v>
      </c>
      <c r="E33">
        <f>SUM(D33/C33)</f>
        <v/>
      </c>
      <c r="H33" t="n">
        <v>26</v>
      </c>
      <c r="I33" t="inlineStr">
        <is>
          <t>Stafford Spr</t>
        </is>
      </c>
      <c r="J33" t="n">
        <v>81</v>
      </c>
      <c r="K33" t="n">
        <v>39</v>
      </c>
      <c r="L33">
        <f>SUM(K33/J33)</f>
        <v/>
      </c>
    </row>
    <row r="34">
      <c r="A34" t="n">
        <v>100</v>
      </c>
      <c r="B34" t="inlineStr">
        <is>
          <t>Bethel</t>
        </is>
      </c>
      <c r="C34" t="n">
        <v>42</v>
      </c>
      <c r="D34" t="n">
        <v>3</v>
      </c>
      <c r="E34">
        <f>SUM(D34/C34)</f>
        <v/>
      </c>
      <c r="H34" t="n">
        <v>52</v>
      </c>
      <c r="I34" t="inlineStr">
        <is>
          <t>Coventry</t>
        </is>
      </c>
      <c r="J34" t="n">
        <v>32</v>
      </c>
      <c r="K34" t="n">
        <v>21</v>
      </c>
      <c r="L34">
        <f>SUM(K34/J34)</f>
        <v/>
      </c>
    </row>
    <row r="35">
      <c r="A35" t="n">
        <v>140</v>
      </c>
      <c r="B35" t="inlineStr">
        <is>
          <t>Bridgeport</t>
        </is>
      </c>
      <c r="C35" t="n">
        <v>29</v>
      </c>
      <c r="D35" t="n">
        <v>21</v>
      </c>
      <c r="E35">
        <f>SUM(D35/C35)</f>
        <v/>
      </c>
      <c r="H35" t="n">
        <v>91</v>
      </c>
      <c r="I35" t="inlineStr">
        <is>
          <t>Moosup</t>
        </is>
      </c>
      <c r="J35" t="n">
        <v>29</v>
      </c>
      <c r="K35" t="n">
        <v>2</v>
      </c>
      <c r="L35">
        <f>SUM(K35/J35)</f>
        <v/>
      </c>
    </row>
    <row r="36">
      <c r="A36" t="n">
        <v>176</v>
      </c>
      <c r="B36" t="inlineStr">
        <is>
          <t>Monroe</t>
        </is>
      </c>
      <c r="C36" t="n">
        <v>62</v>
      </c>
      <c r="D36" t="n">
        <v>28</v>
      </c>
      <c r="E36">
        <f>SUM(D36/C36)</f>
        <v/>
      </c>
      <c r="H36" t="n">
        <v>95</v>
      </c>
      <c r="I36" t="inlineStr">
        <is>
          <t>Hebron</t>
        </is>
      </c>
      <c r="J36" t="n">
        <v>35</v>
      </c>
      <c r="K36" t="n">
        <v>1</v>
      </c>
      <c r="L36">
        <f>SUM(K36/J36)</f>
        <v/>
      </c>
    </row>
    <row r="37">
      <c r="A37" t="n">
        <v>177</v>
      </c>
      <c r="B37" t="inlineStr">
        <is>
          <t>Bridgeport</t>
        </is>
      </c>
      <c r="C37" t="n">
        <v>22</v>
      </c>
      <c r="D37" t="n">
        <v>22</v>
      </c>
      <c r="E37">
        <f>SUM(D37/C37)</f>
        <v/>
      </c>
      <c r="H37" t="n">
        <v>101</v>
      </c>
      <c r="I37" t="inlineStr">
        <is>
          <t>Somers</t>
        </is>
      </c>
      <c r="J37" t="n">
        <v>39</v>
      </c>
      <c r="K37" t="n">
        <v>18</v>
      </c>
      <c r="L37">
        <f>SUM(K37/J37)</f>
        <v/>
      </c>
    </row>
    <row r="38">
      <c r="A38" s="8" t="inlineStr">
        <is>
          <t>TOTAL</t>
        </is>
      </c>
      <c r="B38" s="8" t="n"/>
      <c r="C38" s="8" t="n">
        <v>378</v>
      </c>
      <c r="D38" s="8" t="n">
        <v>174</v>
      </c>
      <c r="E38" s="8">
        <f>SUM(D38/C38)</f>
        <v/>
      </c>
      <c r="H38" t="n">
        <v>111</v>
      </c>
      <c r="I38" t="inlineStr">
        <is>
          <t>Woodstock</t>
        </is>
      </c>
      <c r="J38" t="n">
        <v>17</v>
      </c>
      <c r="K38" t="n">
        <v>1</v>
      </c>
      <c r="L38">
        <f>SUM(K38/J38)</f>
        <v/>
      </c>
    </row>
    <row r="39">
      <c r="H39" s="8" t="inlineStr">
        <is>
          <t>TOTAL</t>
        </is>
      </c>
      <c r="I39" s="8" t="n"/>
      <c r="J39" s="8" t="n">
        <v>343</v>
      </c>
      <c r="K39" s="8">
        <f>SUM(K30:K38)</f>
        <v/>
      </c>
      <c r="L39" s="8">
        <f>SUM(K39/J39)</f>
        <v/>
      </c>
    </row>
    <row r="48" ht="15.75" customHeight="1">
      <c r="A48" s="4" t="inlineStr">
        <is>
          <t>Fifth DISTRICT -NEW LONDON COUNTY</t>
        </is>
      </c>
      <c r="B48" s="4" t="n"/>
      <c r="H48" s="4" t="inlineStr">
        <is>
          <t>SIXTH DISTRICT - LITCHFIELD  COUNTY</t>
        </is>
      </c>
      <c r="I48" s="4" t="n"/>
    </row>
    <row r="49">
      <c r="A49" s="5" t="n">
        <v>6</v>
      </c>
      <c r="B49" s="5" t="inlineStr">
        <is>
          <t>UNIT</t>
        </is>
      </c>
      <c r="C49" s="5" t="inlineStr">
        <is>
          <t>GOAL</t>
        </is>
      </c>
      <c r="D49" s="5" t="n">
        <v>2025</v>
      </c>
      <c r="E49" s="5" t="inlineStr">
        <is>
          <t>% OF GOAL</t>
        </is>
      </c>
      <c r="H49" s="5" t="n">
        <v>5</v>
      </c>
      <c r="I49" s="5" t="inlineStr">
        <is>
          <t>UNIT</t>
        </is>
      </c>
      <c r="J49" s="5" t="inlineStr">
        <is>
          <t>GOAL</t>
        </is>
      </c>
      <c r="K49" s="5" t="n">
        <v>2025</v>
      </c>
      <c r="L49" s="5" t="inlineStr">
        <is>
          <t>% OF GOAL</t>
        </is>
      </c>
    </row>
    <row r="50">
      <c r="A50" t="n">
        <v>4</v>
      </c>
      <c r="B50" t="inlineStr">
        <is>
          <t>Norwich</t>
        </is>
      </c>
      <c r="C50" t="n">
        <v>12</v>
      </c>
      <c r="D50" t="n">
        <v>6</v>
      </c>
      <c r="E50">
        <f>SUM(D50/C50)</f>
        <v/>
      </c>
      <c r="H50" t="n">
        <v>20</v>
      </c>
      <c r="I50" t="inlineStr">
        <is>
          <t>Terryville</t>
        </is>
      </c>
      <c r="J50" t="n">
        <v>101</v>
      </c>
      <c r="K50" t="n">
        <v>32</v>
      </c>
      <c r="L50">
        <f>SUM(K50/J50)</f>
        <v/>
      </c>
    </row>
    <row r="51">
      <c r="A51" t="n">
        <v>9</v>
      </c>
      <c r="B51" t="inlineStr">
        <is>
          <t>New London</t>
        </is>
      </c>
      <c r="C51" t="n">
        <v>10</v>
      </c>
      <c r="D51" t="n">
        <v>1</v>
      </c>
      <c r="E51">
        <f>SUM(D51/C51)</f>
        <v/>
      </c>
      <c r="H51" t="n">
        <v>22</v>
      </c>
      <c r="I51" t="inlineStr">
        <is>
          <t>Thomaston</t>
        </is>
      </c>
      <c r="J51" t="n">
        <v>35</v>
      </c>
      <c r="K51" t="n">
        <v>14</v>
      </c>
      <c r="L51">
        <f>SUM(K51/J51)</f>
        <v/>
      </c>
    </row>
    <row r="52">
      <c r="A52" t="n">
        <v>104</v>
      </c>
      <c r="B52" t="inlineStr">
        <is>
          <t>Taftville</t>
        </is>
      </c>
      <c r="C52" t="n">
        <v>24</v>
      </c>
      <c r="D52" t="n">
        <v>18</v>
      </c>
      <c r="E52">
        <f>SUM(D52/C52)</f>
        <v/>
      </c>
      <c r="H52" t="n">
        <v>27</v>
      </c>
      <c r="I52" t="inlineStr">
        <is>
          <t>Litchfield</t>
        </is>
      </c>
      <c r="J52" t="n">
        <v>36</v>
      </c>
      <c r="K52" t="n">
        <v>2</v>
      </c>
      <c r="L52">
        <f>SUM(K52/J52)</f>
        <v/>
      </c>
    </row>
    <row r="53">
      <c r="A53" t="n">
        <v>112</v>
      </c>
      <c r="B53" t="inlineStr">
        <is>
          <t>Montville</t>
        </is>
      </c>
      <c r="C53" t="n">
        <v>59</v>
      </c>
      <c r="D53" t="n">
        <v>26</v>
      </c>
      <c r="E53">
        <f>SUM(D53/C53)</f>
        <v/>
      </c>
      <c r="H53" t="n">
        <v>46</v>
      </c>
      <c r="I53" t="inlineStr">
        <is>
          <t>Goshen-Crnwl</t>
        </is>
      </c>
      <c r="J53" t="n">
        <v>114</v>
      </c>
      <c r="K53" t="n">
        <v>102</v>
      </c>
      <c r="L53">
        <f>SUM(K53/J53)</f>
        <v/>
      </c>
    </row>
    <row r="54">
      <c r="A54" t="n">
        <v>128</v>
      </c>
      <c r="B54" t="inlineStr">
        <is>
          <t>Niantic</t>
        </is>
      </c>
      <c r="C54" t="n">
        <v>83</v>
      </c>
      <c r="D54" t="n">
        <v>50</v>
      </c>
      <c r="E54">
        <f>SUM(D54/C54)</f>
        <v/>
      </c>
      <c r="H54" t="n">
        <v>195</v>
      </c>
      <c r="I54" t="inlineStr">
        <is>
          <t>Oakville</t>
        </is>
      </c>
      <c r="J54" t="n">
        <v>51</v>
      </c>
      <c r="K54" t="n">
        <v>4</v>
      </c>
      <c r="L54">
        <f>SUM(K54/J54)</f>
        <v/>
      </c>
    </row>
    <row r="55">
      <c r="A55" t="n">
        <v>138</v>
      </c>
      <c r="B55" t="inlineStr">
        <is>
          <t>Bozrah</t>
        </is>
      </c>
      <c r="C55" t="n">
        <v>19</v>
      </c>
      <c r="D55" t="n">
        <v>0</v>
      </c>
      <c r="E55">
        <f>SUM(D55/C55)</f>
        <v/>
      </c>
      <c r="H55" s="8" t="inlineStr">
        <is>
          <t>TOTAL</t>
        </is>
      </c>
      <c r="I55" s="8" t="n"/>
      <c r="J55" s="8" t="n">
        <v>337</v>
      </c>
      <c r="K55" s="8" t="n">
        <v>154</v>
      </c>
      <c r="L55" s="8">
        <f>SUM(K55/J55)</f>
        <v/>
      </c>
    </row>
    <row r="56">
      <c r="A56" s="8" t="inlineStr">
        <is>
          <t>TOTAL</t>
        </is>
      </c>
      <c r="B56" s="8" t="n"/>
      <c r="C56" s="8">
        <f>SUM(C50:C55)</f>
        <v/>
      </c>
      <c r="D56" s="8">
        <f>SUM(D50:D55)</f>
        <v/>
      </c>
      <c r="E56" s="8">
        <f>SUM(D56/C56)</f>
        <v/>
      </c>
    </row>
    <row r="61" ht="15.75" customHeight="1">
      <c r="A61" s="4" t="inlineStr">
        <is>
          <t>SEVENTH DISTRICT -MIDDLESEX  COUNTY</t>
        </is>
      </c>
      <c r="B61" s="4" t="n"/>
      <c r="F61" s="4" t="n"/>
      <c r="H61" s="4" t="n"/>
      <c r="I61" s="4" t="inlineStr">
        <is>
          <t>DEPARTMENT HEADQUARTERS</t>
        </is>
      </c>
      <c r="L61" s="10" t="n"/>
    </row>
    <row r="62">
      <c r="A62" s="5" t="n">
        <v>9</v>
      </c>
      <c r="B62" s="5" t="inlineStr">
        <is>
          <t>UNIT</t>
        </is>
      </c>
      <c r="C62" s="5" t="inlineStr">
        <is>
          <t>GOAL</t>
        </is>
      </c>
      <c r="D62" s="5" t="n">
        <v>2025</v>
      </c>
      <c r="E62" s="5" t="inlineStr">
        <is>
          <t>% OF GOAL</t>
        </is>
      </c>
      <c r="F62" s="5" t="n"/>
      <c r="G62" s="11" t="n"/>
      <c r="H62" s="5" t="n"/>
      <c r="I62" s="5" t="inlineStr">
        <is>
          <t>UNIT</t>
        </is>
      </c>
      <c r="J62" s="5" t="inlineStr">
        <is>
          <t>GOAL</t>
        </is>
      </c>
      <c r="K62" s="5" t="n">
        <v>2025</v>
      </c>
      <c r="L62" s="6" t="inlineStr">
        <is>
          <t>% OF GOAL</t>
        </is>
      </c>
    </row>
    <row r="63">
      <c r="A63" t="n">
        <v>61</v>
      </c>
      <c r="B63" t="inlineStr">
        <is>
          <t>Deep River</t>
        </is>
      </c>
      <c r="C63" t="n">
        <v>17</v>
      </c>
      <c r="D63" t="n">
        <v>0</v>
      </c>
      <c r="E63">
        <f>SUM(D63/C63)</f>
        <v/>
      </c>
      <c r="H63" t="n">
        <v>200</v>
      </c>
      <c r="I63" t="inlineStr">
        <is>
          <t>HQ</t>
        </is>
      </c>
      <c r="J63" t="n">
        <v>114</v>
      </c>
      <c r="K63" t="n">
        <v>64</v>
      </c>
      <c r="L63" s="7">
        <f>SUM(K63/J63)</f>
        <v/>
      </c>
    </row>
    <row r="64">
      <c r="A64" t="n">
        <v>64</v>
      </c>
      <c r="B64" t="inlineStr">
        <is>
          <t>East Hampton</t>
        </is>
      </c>
      <c r="C64" t="n">
        <v>11</v>
      </c>
      <c r="D64" t="n">
        <v>2</v>
      </c>
      <c r="E64">
        <f>SUM(D64/C64)</f>
        <v/>
      </c>
      <c r="I64" t="inlineStr">
        <is>
          <t>TOTAL</t>
        </is>
      </c>
      <c r="J64" t="n">
        <v>114</v>
      </c>
      <c r="K64" t="n">
        <v>64</v>
      </c>
      <c r="L64" s="7">
        <f>SUM(K64/J64)</f>
        <v/>
      </c>
    </row>
    <row r="65">
      <c r="A65" t="n">
        <v>66</v>
      </c>
      <c r="B65" t="inlineStr">
        <is>
          <t>Clinton</t>
        </is>
      </c>
      <c r="C65" t="n">
        <v>54</v>
      </c>
      <c r="D65" t="n">
        <v>17</v>
      </c>
      <c r="E65">
        <f>SUM(D65/C65)</f>
        <v/>
      </c>
      <c r="L65" s="7" t="n"/>
    </row>
    <row r="66">
      <c r="A66" t="n">
        <v>69</v>
      </c>
      <c r="B66" t="inlineStr">
        <is>
          <t>Portland</t>
        </is>
      </c>
      <c r="C66" t="n">
        <v>12</v>
      </c>
      <c r="D66" t="n">
        <v>8</v>
      </c>
      <c r="E66">
        <f>SUM(D66/C66)</f>
        <v/>
      </c>
      <c r="I66" s="8" t="inlineStr">
        <is>
          <t>DEPARTMENT TOTALS</t>
        </is>
      </c>
      <c r="L66" s="9" t="inlineStr">
        <is>
          <t>73 Units</t>
        </is>
      </c>
    </row>
    <row r="67">
      <c r="A67" t="n">
        <v>103</v>
      </c>
      <c r="B67" t="inlineStr">
        <is>
          <t>Westbrook</t>
        </is>
      </c>
      <c r="C67" t="n">
        <v>22</v>
      </c>
      <c r="D67" t="n">
        <v>1</v>
      </c>
      <c r="E67">
        <f>SUM(D67/C67)</f>
        <v/>
      </c>
      <c r="I67" s="8" t="inlineStr">
        <is>
          <t>DISTRICT</t>
        </is>
      </c>
      <c r="J67" s="8" t="inlineStr">
        <is>
          <t>GOAL</t>
        </is>
      </c>
      <c r="K67" s="8" t="n">
        <v>2025</v>
      </c>
      <c r="L67" s="9" t="inlineStr">
        <is>
          <t>% OF GOAL</t>
        </is>
      </c>
    </row>
    <row r="68">
      <c r="A68" t="n">
        <v>105</v>
      </c>
      <c r="B68" t="inlineStr">
        <is>
          <t>Cromwell</t>
        </is>
      </c>
      <c r="C68" t="n">
        <v>10</v>
      </c>
      <c r="D68" t="n">
        <v>3</v>
      </c>
      <c r="E68">
        <f>SUM(D68/C68)</f>
        <v/>
      </c>
      <c r="I68" t="inlineStr">
        <is>
          <t>2ND DISTRICT</t>
        </is>
      </c>
      <c r="J68" t="n">
        <v>839</v>
      </c>
      <c r="K68" t="n">
        <v>529</v>
      </c>
      <c r="L68" s="9">
        <f>SUM(K68/J68)</f>
        <v/>
      </c>
    </row>
    <row r="69">
      <c r="A69" t="n">
        <v>113</v>
      </c>
      <c r="B69" t="inlineStr">
        <is>
          <t>Old Saybrook</t>
        </is>
      </c>
      <c r="C69" t="n">
        <v>24</v>
      </c>
      <c r="D69" t="n">
        <v>1</v>
      </c>
      <c r="E69">
        <f>SUM(D69/C69)</f>
        <v/>
      </c>
      <c r="I69" t="inlineStr">
        <is>
          <t>5TH  DISTRICT</t>
        </is>
      </c>
      <c r="J69" t="n">
        <v>207</v>
      </c>
      <c r="K69" t="n">
        <v>101</v>
      </c>
      <c r="L69" s="9">
        <f>SUM(K69/J69)</f>
        <v/>
      </c>
    </row>
    <row r="70">
      <c r="A70" t="n">
        <v>156</v>
      </c>
      <c r="B70" t="inlineStr">
        <is>
          <t>East Haddam</t>
        </is>
      </c>
      <c r="C70" t="n">
        <v>39</v>
      </c>
      <c r="D70" t="n">
        <v>4</v>
      </c>
      <c r="E70">
        <f>SUM(D70/C70)</f>
        <v/>
      </c>
      <c r="I70" t="inlineStr">
        <is>
          <t>3RD DISTRICT</t>
        </is>
      </c>
      <c r="J70" t="n">
        <v>378</v>
      </c>
      <c r="K70" t="n">
        <v>174</v>
      </c>
      <c r="L70" s="9">
        <f>SUM(K70/J70)</f>
        <v/>
      </c>
    </row>
    <row r="71">
      <c r="A71" t="n">
        <v>206</v>
      </c>
      <c r="B71" t="inlineStr">
        <is>
          <t>Middletown</t>
        </is>
      </c>
      <c r="C71" t="n">
        <v>50</v>
      </c>
      <c r="D71" t="n">
        <v>0</v>
      </c>
      <c r="E71">
        <f>SUM(D71/C71)</f>
        <v/>
      </c>
      <c r="I71" t="inlineStr">
        <is>
          <t>6TH DISTRICT</t>
        </is>
      </c>
      <c r="J71" t="n">
        <v>337</v>
      </c>
      <c r="K71" t="n">
        <v>154</v>
      </c>
      <c r="L71" s="9">
        <f>SUM(K71/J71)</f>
        <v/>
      </c>
    </row>
    <row r="72">
      <c r="A72" s="8" t="inlineStr">
        <is>
          <t>TOTAL</t>
        </is>
      </c>
      <c r="B72" s="8" t="n"/>
      <c r="C72" s="8">
        <f>SUM(C63:C71)</f>
        <v/>
      </c>
      <c r="D72" s="8" t="n">
        <v>41</v>
      </c>
      <c r="E72" s="8">
        <f>SUM(D72/C72)</f>
        <v/>
      </c>
      <c r="I72" t="inlineStr">
        <is>
          <t>1ST DISTRICT</t>
        </is>
      </c>
      <c r="J72" t="n">
        <v>749</v>
      </c>
      <c r="K72" t="n">
        <v>292</v>
      </c>
      <c r="L72" s="9">
        <f>SUM(K72/J72)</f>
        <v/>
      </c>
    </row>
    <row r="73">
      <c r="I73" t="inlineStr">
        <is>
          <t>4TH DISTRICT</t>
        </is>
      </c>
      <c r="J73" t="n">
        <v>343</v>
      </c>
      <c r="K73" t="n">
        <v>124</v>
      </c>
      <c r="L73" s="9">
        <f>SUM(K73/J73)</f>
        <v/>
      </c>
    </row>
    <row r="74">
      <c r="I74" t="inlineStr">
        <is>
          <t>7TH DISTRICT</t>
        </is>
      </c>
      <c r="J74" t="n">
        <v>239</v>
      </c>
      <c r="K74" t="n">
        <v>41</v>
      </c>
      <c r="L74" s="9">
        <f>SUM(K74/J74)</f>
        <v/>
      </c>
    </row>
    <row r="75">
      <c r="I75" t="inlineStr">
        <is>
          <t>HDQTRS</t>
        </is>
      </c>
      <c r="J75" t="n">
        <v>114</v>
      </c>
      <c r="K75" t="n">
        <v>64</v>
      </c>
      <c r="L75" s="9">
        <f>SUM(K75/J75)</f>
        <v/>
      </c>
    </row>
    <row r="76">
      <c r="I76" s="8" t="inlineStr">
        <is>
          <t>TOTAL</t>
        </is>
      </c>
      <c r="J76" s="8" t="n">
        <v>3206</v>
      </c>
      <c r="K76" s="8" t="n">
        <v>1479</v>
      </c>
      <c r="L76" s="9">
        <f>SUM(K76/J76)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2026-05-04T14:17:35Z</dcterms:created>
  <dcterms:modified xsi:type="dcterms:W3CDTF">2026-05-04T14:17:35Z</dcterms:modified>
</cp:coreProperties>
</file>