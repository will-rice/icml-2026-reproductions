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b val="1"/>
      <sz val="14"/>
      <u val="single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B4B58"/>
        <bgColor rgb="003B4B58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F5100"/>
        <bgColor rgb="00FF5100"/>
      </patternFill>
    </fill>
    <fill>
      <patternFill patternType="solid">
        <fgColor rgb="00FFE5D9"/>
        <bgColor rgb="00FFE5D9"/>
      </patternFill>
    </fill>
  </fills>
  <borders count="3">
    <border>
      <left/>
      <right/>
      <top/>
      <bottom/>
      <diagonal/>
    </border>
    <border>
      <left style="thin">
        <color rgb="00FF5100"/>
      </left>
      <right style="thin">
        <color rgb="00FF5100"/>
      </right>
      <top style="thin">
        <color rgb="00FF5100"/>
      </top>
      <bottom style="thin">
        <color rgb="00FF5100"/>
      </bottom>
    </border>
    <border>
      <right style="thin">
        <color rgb="00FFFFFF"/>
      </righ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4" borderId="1" applyAlignment="1" pivotButton="0" quotePrefix="0" xfId="0">
      <alignment horizontal="center"/>
    </xf>
    <xf numFmtId="0" fontId="4" fillId="5" borderId="2" applyAlignment="1" pivotButton="0" quotePrefix="0" xfId="0">
      <alignment horizontal="left"/>
    </xf>
    <xf numFmtId="0" fontId="4" fillId="5" borderId="0" applyAlignment="1" pivotButton="0" quotePrefix="0" xfId="0">
      <alignment horizontal="left"/>
    </xf>
    <xf numFmtId="0" fontId="0" fillId="6" borderId="2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14" fontId="0" fillId="6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3.42578125" customWidth="1" min="1" max="1"/>
    <col width="18" customWidth="1" min="2" max="2"/>
    <col width="32.5703125" customWidth="1" min="3" max="3"/>
    <col width="13.5703125" customWidth="1" min="4" max="4"/>
    <col width="31.42578125" customWidth="1" min="5" max="5"/>
    <col width="19.42578125" bestFit="1" customWidth="1" min="6" max="6"/>
    <col width="25.140625" customWidth="1" min="7" max="7"/>
    <col width="14" bestFit="1" customWidth="1" min="8" max="8"/>
    <col width="7.85546875" bestFit="1" customWidth="1" min="9" max="9"/>
    <col width="44.28515625" bestFit="1" customWidth="1" min="10" max="10"/>
    <col width="15.7109375" bestFit="1" customWidth="1" min="11" max="11"/>
    <col width="11.7109375" bestFit="1" customWidth="1" min="12" max="12"/>
    <col width="12.28515625" bestFit="1" customWidth="1" min="13" max="13"/>
    <col width="11.5703125" bestFit="1" customWidth="1" min="14" max="14"/>
    <col width="12" bestFit="1" customWidth="1" min="15" max="15"/>
    <col width="13.7109375" bestFit="1" customWidth="1" min="16" max="16"/>
    <col width="8.140625" bestFit="1" customWidth="1" min="17" max="17"/>
    <col width="11.85546875" bestFit="1" customWidth="1" min="18" max="18"/>
    <col width="12.28515625" bestFit="1" customWidth="1" min="19" max="19"/>
    <col width="21.140625" customWidth="1" min="20" max="20"/>
    <col width="22.5703125" bestFit="1" customWidth="1" min="21" max="21"/>
    <col width="18.85546875" bestFit="1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2" t="inlineStr">
        <is>
          <t>This sheet allows you to manage Allocations: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1" t="n"/>
      <c r="B3" s="2" t="inlineStr">
        <is>
          <t>1. ListAllocations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A4" s="1" t="n"/>
      <c r="B4" s="2" t="inlineStr">
        <is>
          <t>2. GetAllocation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1" t="n"/>
      <c r="B5" s="2" t="inlineStr">
        <is>
          <t>3. UpsertAllocations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18.75" customHeight="1">
      <c r="A10" s="3" t="n"/>
      <c r="B10" s="4" t="inlineStr">
        <is>
          <t>1. Get a list of allocations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5.75" customHeight="1">
      <c r="A12" s="3" t="n"/>
      <c r="B12" s="5" t="inlineStr">
        <is>
          <t>asAt:</t>
        </is>
      </c>
      <c r="C12" s="6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15.75" customHeight="1">
      <c r="A14" s="3" t="n"/>
      <c r="B14" s="5" t="inlineStr">
        <is>
          <t>filter:</t>
        </is>
      </c>
      <c r="C14" s="6" t="inlineStr">
        <is>
          <t>id.code startswith 'MyAlloc'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15.75" customHeight="1">
      <c r="A16" s="3" t="n"/>
      <c r="B16" s="5" t="inlineStr">
        <is>
          <t>propertyKeys:</t>
        </is>
      </c>
      <c r="C16" s="6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3" t="n"/>
      <c r="C19" s="7">
        <f>_xll.flAllocationsList(C12,,C14,C16)</f>
        <v/>
      </c>
      <c r="D19" s="7" t="inlineStr">
        <is>
          <t>Id Code</t>
        </is>
      </c>
      <c r="E19" s="7" t="inlineStr">
        <is>
          <t>AllocatedOrderId Scope</t>
        </is>
      </c>
      <c r="F19" s="7" t="inlineStr">
        <is>
          <t>AllocatedOrderId Code</t>
        </is>
      </c>
      <c r="G19" s="7" t="inlineStr">
        <is>
          <t>PortfolioId Scope</t>
        </is>
      </c>
      <c r="H19" s="7" t="inlineStr">
        <is>
          <t>PortfolioId Code</t>
        </is>
      </c>
      <c r="I19" s="7" t="inlineStr">
        <is>
          <t>Quantity</t>
        </is>
      </c>
      <c r="J19" s="7" t="inlineStr">
        <is>
          <t>InstrumentIdentifiers</t>
        </is>
      </c>
      <c r="K19" s="7" t="inlineStr">
        <is>
          <t>LusidInstrumentId</t>
        </is>
      </c>
      <c r="L19" s="7" t="inlineStr">
        <is>
          <t>PlacementIds</t>
        </is>
      </c>
      <c r="M19" s="7" t="inlineStr">
        <is>
          <t>State</t>
        </is>
      </c>
      <c r="N19" s="7" t="inlineStr">
        <is>
          <t>Side</t>
        </is>
      </c>
      <c r="O19" s="7" t="inlineStr">
        <is>
          <t>Type</t>
        </is>
      </c>
      <c r="P19" s="7" t="inlineStr">
        <is>
          <t>SettlementDate</t>
        </is>
      </c>
      <c r="Q19" s="7" t="inlineStr">
        <is>
          <t>Date</t>
        </is>
      </c>
      <c r="R19" s="7" t="inlineStr">
        <is>
          <t>Price Amount</t>
        </is>
      </c>
      <c r="S19" s="7" t="inlineStr">
        <is>
          <t>Price Currency</t>
        </is>
      </c>
      <c r="T19" s="7" t="inlineStr">
        <is>
          <t>SettlementCurrency</t>
        </is>
      </c>
      <c r="U19" s="7" t="inlineStr">
        <is>
          <t>SettlementCurrencyFxRate</t>
        </is>
      </c>
      <c r="V19" s="8" t="inlineStr">
        <is>
          <t>Counterparty</t>
        </is>
      </c>
      <c r="W19" s="3" t="n"/>
      <c r="X19" s="3" t="n"/>
      <c r="Y19" s="3" t="n"/>
    </row>
    <row r="20">
      <c r="A20" s="3" t="n"/>
      <c r="B20" s="3" t="n"/>
      <c r="C20" s="9" t="inlineStr">
        <is>
          <t>orders</t>
        </is>
      </c>
      <c r="D20" s="9" t="inlineStr">
        <is>
          <t>myallocation02</t>
        </is>
      </c>
      <c r="E20" s="9" t="inlineStr">
        <is>
          <t>orders</t>
        </is>
      </c>
      <c r="F20" s="9" t="inlineStr">
        <is>
          <t>myorder7</t>
        </is>
      </c>
      <c r="G20" s="9" t="inlineStr">
        <is>
          <t>orders</t>
        </is>
      </c>
      <c r="H20" s="9" t="inlineStr">
        <is>
          <t>dummy_Portfolio</t>
        </is>
      </c>
      <c r="I20" s="9" t="n">
        <v>1</v>
      </c>
      <c r="J20" s="9" t="inlineStr">
        <is>
          <t>Instrument/default/LusidInstrumentId:LUID_ZZZZZZZZ</t>
        </is>
      </c>
      <c r="K20" s="9" t="inlineStr">
        <is>
          <t>LUID_ZZZZZZZZ</t>
        </is>
      </c>
      <c r="L20" s="9" t="n"/>
      <c r="M20" s="9" t="inlineStr">
        <is>
          <t>UnknownState</t>
        </is>
      </c>
      <c r="N20" s="9" t="inlineStr">
        <is>
          <t>UnknownSide</t>
        </is>
      </c>
      <c r="O20" s="9" t="inlineStr">
        <is>
          <t>UnknownType</t>
        </is>
      </c>
      <c r="P20" s="9" t="n">
        <v>0</v>
      </c>
      <c r="Q20" s="9" t="n">
        <v>0</v>
      </c>
      <c r="R20" s="9" t="n">
        <v>0</v>
      </c>
      <c r="S20" s="9" t="inlineStr">
        <is>
          <t>CCY_ZZZ</t>
        </is>
      </c>
      <c r="T20" s="9" t="inlineStr">
        <is>
          <t>CCY_ZZZ</t>
        </is>
      </c>
      <c r="U20" s="9" t="n">
        <v>0</v>
      </c>
      <c r="V20" s="10" t="inlineStr">
        <is>
          <t>UnknownCounterparty</t>
        </is>
      </c>
      <c r="W20" s="3" t="n"/>
      <c r="X20" s="3" t="n"/>
      <c r="Y20" s="3" t="n"/>
    </row>
    <row r="21">
      <c r="A21" s="3" t="n"/>
      <c r="B21" s="3" t="n"/>
      <c r="C21" s="9" t="inlineStr">
        <is>
          <t>UK_Equities_Fund_3857-1771-09e1-a8</t>
        </is>
      </c>
      <c r="D21" s="9" t="inlineStr">
        <is>
          <t>MyAllocation002</t>
        </is>
      </c>
      <c r="E21" s="9" t="inlineStr">
        <is>
          <t>UK_Equities_Fund_3857-1771-09e1-a8</t>
        </is>
      </c>
      <c r="F21" s="9" t="inlineStr">
        <is>
          <t>ORD002</t>
        </is>
      </c>
      <c r="G21" s="9" t="inlineStr">
        <is>
          <t>UK_Equities_Fund_3857-1771-09e1-a8</t>
        </is>
      </c>
      <c r="H21" s="9" t="inlineStr">
        <is>
          <t>portfolio-d1c10872-4d5d-46af-bd63-b99bb0b755fd</t>
        </is>
      </c>
      <c r="I21" s="9" t="n">
        <v>200</v>
      </c>
      <c r="J21" s="9" t="inlineStr">
        <is>
          <t>Instrument/default/Figi:BBG000BVPXP1</t>
        </is>
      </c>
      <c r="K21" s="9" t="inlineStr">
        <is>
          <t>LUID_0000MIOX</t>
        </is>
      </c>
      <c r="L21" s="9" t="n"/>
      <c r="M21" s="9" t="inlineStr">
        <is>
          <t>New</t>
        </is>
      </c>
      <c r="N21" s="9" t="inlineStr">
        <is>
          <t>UnknownSide</t>
        </is>
      </c>
      <c r="O21" s="9" t="inlineStr">
        <is>
          <t>UnknownType</t>
        </is>
      </c>
      <c r="P21" s="11" t="inlineStr">
        <is>
          <t>01/08/2022</t>
        </is>
      </c>
      <c r="Q21" s="11" t="inlineStr">
        <is>
          <t>01/07/2022</t>
        </is>
      </c>
      <c r="R21" s="9" t="n">
        <v>60</v>
      </c>
      <c r="S21" s="9" t="inlineStr">
        <is>
          <t>GBP</t>
        </is>
      </c>
      <c r="T21" s="9" t="inlineStr">
        <is>
          <t>GBP</t>
        </is>
      </c>
      <c r="U21" s="9" t="n">
        <v>0</v>
      </c>
      <c r="V21" s="10" t="inlineStr">
        <is>
          <t>UnknownCounterparty</t>
        </is>
      </c>
      <c r="W21" s="3" t="n"/>
      <c r="X21" s="3" t="n"/>
      <c r="Y21" s="3" t="n"/>
    </row>
    <row r="22">
      <c r="A22" s="3" t="n"/>
      <c r="B22" s="3" t="n"/>
      <c r="C22" s="9" t="inlineStr">
        <is>
          <t>UK_Equities_Fund_3857-1771-09e1-a8</t>
        </is>
      </c>
      <c r="D22" s="9" t="inlineStr">
        <is>
          <t>MyAllocation001</t>
        </is>
      </c>
      <c r="E22" s="9" t="inlineStr">
        <is>
          <t>UK_Equities_Fund_3857-1771-09e1-a8</t>
        </is>
      </c>
      <c r="F22" s="9" t="inlineStr">
        <is>
          <t>ORD001</t>
        </is>
      </c>
      <c r="G22" s="9" t="inlineStr">
        <is>
          <t>UK_Equities_Fund_3857-1771-09e1-a8</t>
        </is>
      </c>
      <c r="H22" s="9" t="inlineStr">
        <is>
          <t>portfolio-d1c10872-4d5d-46af-bd63-b99bb0b755fd</t>
        </is>
      </c>
      <c r="I22" s="9" t="n">
        <v>100</v>
      </c>
      <c r="J22" s="9" t="inlineStr">
        <is>
          <t>Instrument/default/Figi:BBG000BVPXP1</t>
        </is>
      </c>
      <c r="K22" s="9" t="inlineStr">
        <is>
          <t>LUID_0000MIOX</t>
        </is>
      </c>
      <c r="L22" s="9" t="n"/>
      <c r="M22" s="9" t="inlineStr">
        <is>
          <t>New</t>
        </is>
      </c>
      <c r="N22" s="9" t="inlineStr">
        <is>
          <t>UnknownSide</t>
        </is>
      </c>
      <c r="O22" s="9" t="inlineStr">
        <is>
          <t>UnknownType</t>
        </is>
      </c>
      <c r="P22" s="11" t="inlineStr">
        <is>
          <t>01/07/2022</t>
        </is>
      </c>
      <c r="Q22" s="11" t="inlineStr">
        <is>
          <t>01/06/2022</t>
        </is>
      </c>
      <c r="R22" s="9" t="n">
        <v>50</v>
      </c>
      <c r="S22" s="9" t="inlineStr">
        <is>
          <t>GBP</t>
        </is>
      </c>
      <c r="T22" s="9" t="inlineStr">
        <is>
          <t>GBP</t>
        </is>
      </c>
      <c r="U22" s="9" t="n">
        <v>0</v>
      </c>
      <c r="V22" s="10" t="inlineStr">
        <is>
          <t>UnknownCounterparty</t>
        </is>
      </c>
      <c r="W22" s="3" t="n"/>
      <c r="X22" s="3" t="n"/>
      <c r="Y22" s="3" t="n"/>
    </row>
    <row r="23">
      <c r="A23" s="3" t="n"/>
      <c r="B23" s="3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10" t="n"/>
      <c r="W23" s="3" t="n"/>
      <c r="X23" s="3" t="n"/>
      <c r="Y23" s="3" t="n"/>
    </row>
    <row r="24">
      <c r="A24" s="3" t="n"/>
      <c r="B24" s="3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10" t="n"/>
      <c r="W24" s="3" t="n"/>
      <c r="X24" s="3" t="n"/>
      <c r="Y24" s="3" t="n"/>
    </row>
    <row r="25">
      <c r="A25" s="3" t="n"/>
      <c r="B25" s="3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10" t="n"/>
      <c r="W25" s="3" t="n"/>
      <c r="X25" s="3" t="n"/>
      <c r="Y25" s="3" t="n"/>
    </row>
    <row r="26">
      <c r="A26" s="3" t="n"/>
      <c r="B26" s="3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10" t="n"/>
      <c r="W26" s="3" t="n"/>
      <c r="X26" s="3" t="n"/>
      <c r="Y26" s="3" t="n"/>
    </row>
    <row r="27">
      <c r="A27" s="3" t="n"/>
      <c r="B27" s="3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10" t="n"/>
      <c r="W27" s="3" t="n"/>
      <c r="X27" s="3" t="n"/>
      <c r="Y27" s="3" t="n"/>
    </row>
    <row r="28">
      <c r="A28" s="3" t="n"/>
      <c r="B28" s="3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10" t="n"/>
      <c r="W28" s="3" t="n"/>
      <c r="X28" s="3" t="n"/>
      <c r="Y28" s="3" t="n"/>
    </row>
    <row r="29">
      <c r="A29" s="3" t="n"/>
      <c r="B29" s="3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10" t="n"/>
      <c r="W29" s="3" t="n"/>
      <c r="X29" s="3" t="n"/>
      <c r="Y29" s="3" t="n"/>
    </row>
    <row r="30">
      <c r="A30" s="3" t="n"/>
      <c r="B30" s="3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10" t="n"/>
      <c r="W30" s="3" t="n"/>
      <c r="X30" s="3" t="n"/>
      <c r="Y30" s="3" t="n"/>
    </row>
    <row r="31">
      <c r="A31" s="3" t="n"/>
      <c r="B31" s="3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10" t="n"/>
      <c r="W31" s="3" t="n"/>
      <c r="X31" s="3" t="n"/>
      <c r="Y31" s="3" t="n"/>
    </row>
    <row r="32">
      <c r="A32" s="3" t="n"/>
      <c r="B32" s="3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10" t="n"/>
      <c r="W32" s="3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18.75" customHeight="1">
      <c r="A35" s="3" t="n"/>
      <c r="B35" s="4" t="inlineStr">
        <is>
          <t>2. Get a specific allocation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15.7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15.75" customHeight="1">
      <c r="A37" s="3" t="n"/>
      <c r="B37" s="5" t="inlineStr">
        <is>
          <t>scope:</t>
        </is>
      </c>
      <c r="C37" s="6" t="inlineStr">
        <is>
          <t>UK_Equities_Fund_3857-1771-09e1-a8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15.7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15.75" customHeight="1">
      <c r="A39" s="3" t="n"/>
      <c r="B39" s="5" t="inlineStr">
        <is>
          <t>code:</t>
        </is>
      </c>
      <c r="C39" s="6" t="inlineStr">
        <is>
          <t>ALLOC345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15.7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15.75" customHeight="1">
      <c r="A41" s="3" t="n"/>
      <c r="B41" s="5" t="inlineStr">
        <is>
          <t>asAt:</t>
        </is>
      </c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15.7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15.75" customHeight="1">
      <c r="A43" s="3" t="n"/>
      <c r="B43" s="5" t="inlineStr">
        <is>
          <t>propertyKeys:</t>
        </is>
      </c>
      <c r="C43" s="6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3" t="n"/>
      <c r="B46" s="3" t="n"/>
      <c r="C46" s="7">
        <f>_xll.flAllocationGet(C37,C39,C41,C43)</f>
        <v/>
      </c>
      <c r="D46" s="7" t="inlineStr">
        <is>
          <t>Id Code</t>
        </is>
      </c>
      <c r="E46" s="7" t="inlineStr">
        <is>
          <t>AllocatedOrderId Scope</t>
        </is>
      </c>
      <c r="F46" s="7" t="inlineStr">
        <is>
          <t>AllocatedOrderId Code</t>
        </is>
      </c>
      <c r="G46" s="7" t="inlineStr">
        <is>
          <t>PortfolioId Scope</t>
        </is>
      </c>
      <c r="H46" s="7" t="inlineStr">
        <is>
          <t>PortfolioId Code</t>
        </is>
      </c>
      <c r="I46" s="7" t="inlineStr">
        <is>
          <t>Quantity</t>
        </is>
      </c>
      <c r="J46" s="7" t="inlineStr">
        <is>
          <t>InstrumentIdentifiers</t>
        </is>
      </c>
      <c r="K46" s="7" t="inlineStr">
        <is>
          <t>LusidInstrumentId</t>
        </is>
      </c>
      <c r="L46" s="7" t="inlineStr">
        <is>
          <t>PlacementIds</t>
        </is>
      </c>
      <c r="M46" s="7" t="inlineStr">
        <is>
          <t>State</t>
        </is>
      </c>
      <c r="N46" s="7" t="inlineStr">
        <is>
          <t>Side</t>
        </is>
      </c>
      <c r="O46" s="7" t="inlineStr">
        <is>
          <t>Type</t>
        </is>
      </c>
      <c r="P46" s="7" t="inlineStr">
        <is>
          <t>SettlementDate</t>
        </is>
      </c>
      <c r="Q46" s="7" t="inlineStr">
        <is>
          <t>Date</t>
        </is>
      </c>
      <c r="R46" s="7" t="inlineStr">
        <is>
          <t>Price Amount</t>
        </is>
      </c>
      <c r="S46" s="7" t="inlineStr">
        <is>
          <t>Price Currency</t>
        </is>
      </c>
      <c r="T46" s="7" t="inlineStr">
        <is>
          <t>SettlementCurrency</t>
        </is>
      </c>
      <c r="U46" s="7" t="inlineStr">
        <is>
          <t>SettlementCurrencyFxRate</t>
        </is>
      </c>
      <c r="V46" s="8" t="inlineStr">
        <is>
          <t>Counterparty</t>
        </is>
      </c>
      <c r="W46" s="3" t="n"/>
      <c r="X46" s="3" t="n"/>
      <c r="Y46" s="3" t="n"/>
    </row>
    <row r="47">
      <c r="A47" s="3" t="n"/>
      <c r="B47" s="3" t="n"/>
      <c r="C47" s="9" t="inlineStr">
        <is>
          <t>UK_Equities_Fund_3857-1771-09e1-a8</t>
        </is>
      </c>
      <c r="D47" s="9" t="inlineStr">
        <is>
          <t>ALLOC345</t>
        </is>
      </c>
      <c r="E47" s="9" t="inlineStr">
        <is>
          <t>UK_Equities_Fund_3857-1771-09e1-a8</t>
        </is>
      </c>
      <c r="F47" s="9" t="inlineStr">
        <is>
          <t>ORD001</t>
        </is>
      </c>
      <c r="G47" s="9" t="inlineStr">
        <is>
          <t>UK_Equities_Fund_3857-1771-09e1-a8</t>
        </is>
      </c>
      <c r="H47" s="9" t="inlineStr">
        <is>
          <t>portfolio-d1c10872-4d5d-46af-bd63-b99bb0b755fd</t>
        </is>
      </c>
      <c r="I47" s="9" t="n">
        <v>300</v>
      </c>
      <c r="J47" s="9" t="inlineStr">
        <is>
          <t>Instrument/default/Figi:BBG000BVPXP1</t>
        </is>
      </c>
      <c r="K47" s="9" t="inlineStr">
        <is>
          <t>LUID_0000MIOX</t>
        </is>
      </c>
      <c r="L47" s="9" t="n"/>
      <c r="M47" s="9" t="n"/>
      <c r="N47" s="9" t="n"/>
      <c r="O47" s="9" t="n"/>
      <c r="P47" s="9" t="n">
        <v>0</v>
      </c>
      <c r="Q47" s="9" t="n">
        <v>0</v>
      </c>
      <c r="R47" s="9" t="n">
        <v>0</v>
      </c>
      <c r="S47" s="9" t="inlineStr">
        <is>
          <t>CCY_ZZZ</t>
        </is>
      </c>
      <c r="T47" s="9" t="inlineStr">
        <is>
          <t>CCY_ZZZ</t>
        </is>
      </c>
      <c r="U47" s="9" t="n">
        <v>0</v>
      </c>
      <c r="V47" s="10" t="inlineStr">
        <is>
          <t>UnknownCounterparty</t>
        </is>
      </c>
      <c r="W47" s="3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18.75" customHeight="1">
      <c r="A50" s="3" t="n"/>
      <c r="B50" s="4" t="inlineStr">
        <is>
          <t>3. Upsert allocations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3" t="n"/>
      <c r="B52" s="5" t="inlineStr">
        <is>
          <t>Add new allocations using the following table: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3" t="n"/>
      <c r="B54" s="3" t="n"/>
      <c r="C54" s="7" t="inlineStr">
        <is>
          <t>Id Scope</t>
        </is>
      </c>
      <c r="D54" s="7" t="inlineStr">
        <is>
          <t>Id Code</t>
        </is>
      </c>
      <c r="E54" s="7" t="inlineStr">
        <is>
          <t>AllocatedOrderId Scope</t>
        </is>
      </c>
      <c r="F54" s="7" t="inlineStr">
        <is>
          <t>AllocatedOrderId Code</t>
        </is>
      </c>
      <c r="G54" s="7" t="inlineStr">
        <is>
          <t>PortfolioId Scope</t>
        </is>
      </c>
      <c r="H54" s="7" t="inlineStr">
        <is>
          <t>PortfolioId Code</t>
        </is>
      </c>
      <c r="I54" s="7" t="inlineStr">
        <is>
          <t>Quantity</t>
        </is>
      </c>
      <c r="J54" s="7" t="inlineStr">
        <is>
          <t>State</t>
        </is>
      </c>
      <c r="K54" s="7" t="inlineStr">
        <is>
          <t>Side</t>
        </is>
      </c>
      <c r="L54" s="7" t="inlineStr">
        <is>
          <t>Type</t>
        </is>
      </c>
      <c r="M54" s="7" t="inlineStr">
        <is>
          <t>Date</t>
        </is>
      </c>
      <c r="N54" s="7" t="inlineStr">
        <is>
          <t>SettlementDate</t>
        </is>
      </c>
      <c r="O54" s="7" t="inlineStr">
        <is>
          <t>PriceAmount</t>
        </is>
      </c>
      <c r="P54" s="7" t="inlineStr">
        <is>
          <t>PriceCurrency</t>
        </is>
      </c>
      <c r="Q54" s="7" t="inlineStr">
        <is>
          <t>SettlementCurrency</t>
        </is>
      </c>
      <c r="R54" s="7" t="inlineStr">
        <is>
          <t>SettlementCurrencyFxRate</t>
        </is>
      </c>
      <c r="S54" s="7" t="inlineStr">
        <is>
          <t>Counterparty</t>
        </is>
      </c>
      <c r="T54" s="7" t="inlineStr">
        <is>
          <t>Instrument Id Types</t>
        </is>
      </c>
      <c r="U54" s="7" t="inlineStr">
        <is>
          <t>Instrument Ids</t>
        </is>
      </c>
      <c r="V54" s="8" t="inlineStr">
        <is>
          <t>PlacementIds</t>
        </is>
      </c>
      <c r="W54" s="3" t="n"/>
      <c r="X54" s="3" t="n"/>
      <c r="Y54" s="3" t="n"/>
    </row>
    <row r="55">
      <c r="A55" s="3" t="n"/>
      <c r="B55" s="3" t="n"/>
      <c r="C55" s="9" t="inlineStr">
        <is>
          <t>UK_Equities_Fund_3857-1771-09e1-a8</t>
        </is>
      </c>
      <c r="D55" s="9" t="inlineStr">
        <is>
          <t>MyAllocation001</t>
        </is>
      </c>
      <c r="E55" s="9" t="inlineStr">
        <is>
          <t>UK_Equities_Fund_3857-1771-09e1-a8</t>
        </is>
      </c>
      <c r="F55" s="9" t="inlineStr">
        <is>
          <t>ORD001</t>
        </is>
      </c>
      <c r="G55" s="9" t="inlineStr">
        <is>
          <t>UK_Equities_Fund_3857-1771-09e1-a8</t>
        </is>
      </c>
      <c r="H55" s="9" t="inlineStr">
        <is>
          <t>portfolio-d1c10872-4d5d-46af-bd63-b99bb0b755fd</t>
        </is>
      </c>
      <c r="I55" s="9" t="n">
        <v>100</v>
      </c>
      <c r="J55" s="9" t="inlineStr">
        <is>
          <t>New</t>
        </is>
      </c>
      <c r="K55" s="9" t="inlineStr">
        <is>
          <t>Buy</t>
        </is>
      </c>
      <c r="L55" s="9" t="n"/>
      <c r="M55" s="11" t="inlineStr">
        <is>
          <t>01/06/2022</t>
        </is>
      </c>
      <c r="N55" s="9">
        <f>M55 + 1</f>
        <v/>
      </c>
      <c r="O55" s="9" t="n">
        <v>50</v>
      </c>
      <c r="P55" s="9" t="inlineStr">
        <is>
          <t>GBP</t>
        </is>
      </c>
      <c r="Q55" s="9" t="inlineStr">
        <is>
          <t>GBP</t>
        </is>
      </c>
      <c r="R55" s="9" t="n"/>
      <c r="S55" s="9" t="n"/>
      <c r="T55" s="9" t="inlineStr">
        <is>
          <t>Instrument/default/Figi</t>
        </is>
      </c>
      <c r="U55" s="9" t="inlineStr">
        <is>
          <t>BBG000BVPXP1</t>
        </is>
      </c>
      <c r="V55" s="10" t="n"/>
      <c r="W55" s="3" t="n"/>
      <c r="X55" s="3" t="n"/>
      <c r="Y55" s="3" t="n"/>
    </row>
    <row r="56">
      <c r="A56" s="3" t="n"/>
      <c r="B56" s="3" t="n"/>
      <c r="C56" s="9" t="inlineStr">
        <is>
          <t>UK_Equities_Fund_3857-1771-09e1-a8</t>
        </is>
      </c>
      <c r="D56" s="9" t="inlineStr">
        <is>
          <t>MyAllocation002</t>
        </is>
      </c>
      <c r="E56" s="9" t="inlineStr">
        <is>
          <t>UK_Equities_Fund_3857-1771-09e1-a8</t>
        </is>
      </c>
      <c r="F56" s="9" t="inlineStr">
        <is>
          <t>ORD002</t>
        </is>
      </c>
      <c r="G56" s="9" t="inlineStr">
        <is>
          <t>UK_Equities_Fund_3857-1771-09e1-a8</t>
        </is>
      </c>
      <c r="H56" s="9" t="inlineStr">
        <is>
          <t>portfolio-d1c10872-4d5d-46af-bd63-b99bb0b755fd</t>
        </is>
      </c>
      <c r="I56" s="9" t="n">
        <v>200</v>
      </c>
      <c r="J56" s="9" t="inlineStr">
        <is>
          <t>New</t>
        </is>
      </c>
      <c r="K56" s="9" t="inlineStr">
        <is>
          <t>Buy</t>
        </is>
      </c>
      <c r="L56" s="9" t="n"/>
      <c r="M56" s="11" t="inlineStr">
        <is>
          <t>01/07/2022</t>
        </is>
      </c>
      <c r="N56" s="9">
        <f>M56 + 1</f>
        <v/>
      </c>
      <c r="O56" s="9" t="n">
        <v>60</v>
      </c>
      <c r="P56" s="9" t="inlineStr">
        <is>
          <t>GBP</t>
        </is>
      </c>
      <c r="Q56" s="9" t="inlineStr">
        <is>
          <t>GBP</t>
        </is>
      </c>
      <c r="R56" s="9" t="n"/>
      <c r="S56" s="9" t="n"/>
      <c r="T56" s="9" t="inlineStr">
        <is>
          <t>Instrument/default/Figi</t>
        </is>
      </c>
      <c r="U56" s="9" t="inlineStr">
        <is>
          <t>BBG000BVPXP1</t>
        </is>
      </c>
      <c r="V56" s="10" t="n"/>
      <c r="W56" s="3" t="n"/>
      <c r="X56" s="3" t="n"/>
      <c r="Y56" s="3" t="n"/>
    </row>
    <row r="57">
      <c r="A57" s="3" t="n"/>
      <c r="B57" s="3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10" t="n"/>
      <c r="W57" s="3" t="n"/>
      <c r="X57" s="3" t="n"/>
      <c r="Y57" s="3" t="n"/>
    </row>
    <row r="58">
      <c r="A58" s="3" t="n"/>
      <c r="B58" s="3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10" t="n"/>
      <c r="W58" s="3" t="n"/>
      <c r="X58" s="3" t="n"/>
      <c r="Y58" s="3" t="n"/>
    </row>
    <row r="59">
      <c r="A59" s="3" t="n"/>
      <c r="B59" s="3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10" t="n"/>
      <c r="W59" s="3" t="n"/>
      <c r="X59" s="3" t="n"/>
      <c r="Y59" s="3" t="n"/>
    </row>
    <row r="60">
      <c r="A60" s="3" t="n"/>
      <c r="B60" s="3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10" t="n"/>
      <c r="W60" s="3" t="n"/>
      <c r="X60" s="3" t="n"/>
      <c r="Y60" s="3" t="n"/>
    </row>
    <row r="61">
      <c r="A61" s="3" t="n"/>
      <c r="B61" s="3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10" t="n"/>
      <c r="W61" s="3" t="n"/>
      <c r="X61" s="3" t="n"/>
      <c r="Y61" s="3" t="n"/>
    </row>
    <row r="62">
      <c r="A62" s="3" t="n"/>
      <c r="B62" s="3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10" t="n"/>
      <c r="W62" s="3" t="n"/>
      <c r="X62" s="3" t="n"/>
      <c r="Y62" s="3" t="n"/>
    </row>
    <row r="63">
      <c r="A63" s="3" t="n"/>
      <c r="B63" s="3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10" t="n"/>
      <c r="W63" s="3" t="n"/>
      <c r="X63" s="3" t="n"/>
      <c r="Y63" s="3" t="n"/>
    </row>
    <row r="64">
      <c r="A64" s="3" t="n"/>
      <c r="B64" s="3" t="n"/>
      <c r="C64" s="3">
        <f>_xll.flAllocationsAdd(C54:V63)</f>
        <v/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3" t="n"/>
      <c r="B65" s="3" t="n"/>
      <c r="C65" s="3" t="inlineStr">
        <is>
          <t>MyAllocation001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3" t="n"/>
      <c r="B66" s="3" t="n"/>
      <c r="C66" s="3" t="inlineStr">
        <is>
          <t>MyAllocation002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2026-05-04T14:17:33Z</dcterms:created>
  <dcterms:modified xsi:type="dcterms:W3CDTF">2026-05-04T14:17:34Z</dcterms:modified>
</cp:coreProperties>
</file>