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m"/>
    <numFmt numFmtId="165" formatCode="_-* #,##0_-;\-* #,##0_-;_-* &quot;-&quot;??_-;_-@_-"/>
    <numFmt numFmtId="166" formatCode="_(* #,##0.0_);_(* \(#,##0.0\);_(* &quot;-&quot;_);_(@_)"/>
    <numFmt numFmtId="167" formatCode="_-* #,##0.0_-;\-* #,##0.0_-;_-* &quot;-&quot;??_-;_-@_-"/>
    <numFmt numFmtId="168" formatCode="0.0%"/>
    <numFmt numFmtId="169" formatCode="_(* #,##0_);_(* \(#,##0\);_(* &quot;-&quot;??_);_(@_)"/>
  </numFmts>
  <fonts count="5">
    <font>
      <name val="Calibri"/>
      <family val="2"/>
      <color theme="1"/>
      <sz val="11"/>
      <scheme val="minor"/>
    </font>
    <font>
      <b val="1"/>
    </font>
    <font>
      <color rgb="00E85100"/>
    </font>
    <font>
      <b val="1"/>
      <color rgb="00E85100"/>
    </font>
    <font>
      <i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top style="thin">
        <color rgb="00E85100"/>
      </top>
      <bottom style="thin">
        <color rgb="00E85100"/>
      </bottom>
    </border>
    <border>
      <bottom style="thin">
        <color rgb="00E85100"/>
      </bottom>
    </border>
    <border>
      <top style="thin">
        <color rgb="00000000"/>
      </top>
      <bottom style="thin">
        <color rgb="00000000"/>
      </bottom>
    </border>
    <border>
      <top style="thin">
        <color rgb="00000000"/>
      </top>
    </border>
    <border>
      <bottom style="thin">
        <color rgb="00000000"/>
      </bottom>
    </border>
    <border>
      <left/>
      <right/>
      <top style="thin">
        <color rgb="00E85100"/>
      </top>
      <bottom/>
      <diagonal/>
    </border>
    <border>
      <left/>
      <right/>
      <top style="thin">
        <color rgb="00E85100"/>
      </top>
      <bottom style="thin">
        <color rgb="00E851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7" pivotButton="0" quotePrefix="0" xfId="0"/>
    <xf numFmtId="9" fontId="2" fillId="0" borderId="0" pivotButton="0" quotePrefix="0" xfId="0"/>
    <xf numFmtId="9" fontId="2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9" fontId="0" fillId="0" borderId="0" pivotButton="0" quotePrefix="0" xfId="0"/>
    <xf numFmtId="9" fontId="1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7" fontId="1" fillId="0" borderId="0" pivotButton="0" quotePrefix="0" xfId="0"/>
    <xf numFmtId="168" fontId="0" fillId="0" borderId="0" applyAlignment="1" pivotButton="0" quotePrefix="0" xfId="0">
      <alignment horizontal="center"/>
    </xf>
    <xf numFmtId="166" fontId="0" fillId="0" borderId="0" pivotButton="0" quotePrefix="0" xfId="0"/>
    <xf numFmtId="166" fontId="1" fillId="0" borderId="0" pivotButton="0" quotePrefix="0" xfId="0"/>
    <xf numFmtId="167" fontId="0" fillId="0" borderId="0" pivotButton="0" quotePrefix="0" xfId="0"/>
    <xf numFmtId="9" fontId="0" fillId="0" borderId="0" applyAlignment="1" pivotButton="0" quotePrefix="0" xfId="0">
      <alignment horizontal="center"/>
    </xf>
    <xf numFmtId="166" fontId="0" fillId="0" borderId="3" pivotButton="0" quotePrefix="0" xfId="0"/>
    <xf numFmtId="166" fontId="1" fillId="0" borderId="3" pivotButton="0" quotePrefix="0" xfId="0"/>
    <xf numFmtId="166" fontId="0" fillId="0" borderId="4" pivotButton="0" quotePrefix="0" xfId="0"/>
    <xf numFmtId="166" fontId="1" fillId="0" borderId="4" pivotButton="0" quotePrefix="0" xfId="0"/>
    <xf numFmtId="166" fontId="0" fillId="0" borderId="5" pivotButton="0" quotePrefix="0" xfId="0"/>
    <xf numFmtId="166" fontId="1" fillId="0" borderId="5" pivotButton="0" quotePrefix="0" xfId="0"/>
    <xf numFmtId="41" fontId="0" fillId="0" borderId="0" pivotButton="0" quotePrefix="0" xfId="0"/>
    <xf numFmtId="41" fontId="1" fillId="0" borderId="0" pivotButton="0" quotePrefix="0" xfId="0"/>
    <xf numFmtId="41" fontId="0" fillId="0" borderId="3" pivotButton="0" quotePrefix="0" xfId="0"/>
    <xf numFmtId="41" fontId="1" fillId="0" borderId="3" pivotButton="0" quotePrefix="0" xfId="0"/>
    <xf numFmtId="165" fontId="0" fillId="0" borderId="3" pivotButton="0" quotePrefix="0" xfId="0"/>
    <xf numFmtId="165" fontId="1" fillId="0" borderId="3" pivotButton="0" quotePrefix="0" xfId="0"/>
    <xf numFmtId="1" fontId="2" fillId="0" borderId="0" pivotButton="0" quotePrefix="0" xfId="0"/>
    <xf numFmtId="1" fontId="3" fillId="0" borderId="0" pivotButton="0" quotePrefix="0" xfId="0"/>
    <xf numFmtId="1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41" fontId="4" fillId="0" borderId="0" pivotButton="0" quotePrefix="0" xfId="0"/>
    <xf numFmtId="41" fontId="4" fillId="0" borderId="3" pivotButton="0" quotePrefix="0" xfId="0"/>
    <xf numFmtId="41" fontId="0" fillId="0" borderId="4" pivotButton="0" quotePrefix="0" xfId="0"/>
    <xf numFmtId="41" fontId="4" fillId="0" borderId="4" pivotButton="0" quotePrefix="0" xfId="0"/>
    <xf numFmtId="41" fontId="1" fillId="0" borderId="4" pivotButton="0" quotePrefix="0" xfId="0"/>
    <xf numFmtId="0" fontId="0" fillId="0" borderId="5" pivotButton="0" quotePrefix="0" xfId="0"/>
    <xf numFmtId="9" fontId="0" fillId="0" borderId="5" pivotButton="0" quotePrefix="0" xfId="0"/>
    <xf numFmtId="9" fontId="0" fillId="0" borderId="5" applyAlignment="1" pivotButton="0" quotePrefix="0" xfId="0">
      <alignment horizontal="left"/>
    </xf>
    <xf numFmtId="9" fontId="0" fillId="0" borderId="5" applyAlignment="1" pivotButton="0" quotePrefix="0" xfId="0">
      <alignment horizontal="center"/>
    </xf>
    <xf numFmtId="49" fontId="0" fillId="0" borderId="0" pivotButton="0" quotePrefix="0" xfId="0"/>
    <xf numFmtId="169" fontId="0" fillId="0" borderId="0" pivotButton="0" quotePrefix="0" xfId="0"/>
    <xf numFmtId="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5" topLeftCell="A6" activePane="bottomLeft" state="frozen"/>
      <selection pane="bottomLeft" activeCell="A1" sqref="A1"/>
    </sheetView>
  </sheetViews>
  <sheetFormatPr baseColWidth="8" defaultColWidth="9.109375" defaultRowHeight="13.2"/>
  <cols>
    <col width="1.5546875" customWidth="1" min="1" max="1"/>
    <col width="3.5546875" customWidth="1" min="2" max="2"/>
    <col width="27.33203125" customWidth="1" min="3" max="3"/>
    <col width="8.44140625" customWidth="1" min="4" max="4"/>
    <col width="8.33203125" customWidth="1" min="5" max="5"/>
    <col width="8.33203125" customWidth="1" min="9" max="9"/>
    <col width="1.44140625" customWidth="1" min="10" max="10"/>
    <col width="8.33203125" customWidth="1" min="11" max="11"/>
    <col width="9.109375" customWidth="1" min="13" max="13"/>
  </cols>
  <sheetData>
    <row r="1">
      <c r="A1" s="1" t="inlineStr">
        <is>
          <t>Production summary</t>
        </is>
      </c>
    </row>
    <row r="2" ht="8.1" customHeight="1">
      <c r="A2" s="1" t="n"/>
      <c r="C2" s="2" t="n"/>
    </row>
    <row r="3" ht="12.75" customHeight="1">
      <c r="A3" s="1" t="n"/>
      <c r="D3" s="2" t="n"/>
      <c r="E3" s="3" t="inlineStr">
        <is>
          <t>Quarter ended</t>
        </is>
      </c>
      <c r="F3" s="4" t="n"/>
      <c r="G3" s="4" t="n"/>
      <c r="H3" s="4" t="n"/>
      <c r="I3" s="4" t="n"/>
      <c r="J3" s="5" t="n"/>
      <c r="K3" s="6" t="inlineStr">
        <is>
          <t>Year to date</t>
        </is>
      </c>
      <c r="L3" s="4" t="n"/>
    </row>
    <row r="4">
      <c r="D4" s="2" t="inlineStr">
        <is>
          <t>BHP</t>
        </is>
      </c>
      <c r="E4" s="7" t="inlineStr">
        <is>
          <t>Jun</t>
        </is>
      </c>
      <c r="F4" s="7" t="inlineStr">
        <is>
          <t>Sep</t>
        </is>
      </c>
      <c r="G4" s="7" t="inlineStr">
        <is>
          <t>Dec</t>
        </is>
      </c>
      <c r="H4" s="7" t="inlineStr">
        <is>
          <t>Mar</t>
        </is>
      </c>
      <c r="I4" s="8" t="inlineStr">
        <is>
          <t>Jun</t>
        </is>
      </c>
      <c r="J4" s="5" t="n"/>
      <c r="K4" s="8" t="inlineStr">
        <is>
          <t>Jun</t>
        </is>
      </c>
      <c r="L4" s="7" t="inlineStr">
        <is>
          <t>Jun</t>
        </is>
      </c>
    </row>
    <row r="5">
      <c r="D5" s="2" t="inlineStr">
        <is>
          <t>interest</t>
        </is>
      </c>
      <c r="E5" s="9" t="n">
        <v>2021</v>
      </c>
      <c r="F5" s="9" t="n">
        <v>2021</v>
      </c>
      <c r="G5" s="9" t="n">
        <v>2021</v>
      </c>
      <c r="H5" s="9" t="n">
        <v>2022</v>
      </c>
      <c r="I5" s="10" t="n">
        <v>2022</v>
      </c>
      <c r="J5" s="5" t="n"/>
      <c r="K5" s="10" t="n">
        <v>2022</v>
      </c>
      <c r="L5" s="9" t="n">
        <v>2021</v>
      </c>
    </row>
    <row r="6">
      <c r="A6" s="1" t="inlineStr">
        <is>
          <t>Copper 1</t>
        </is>
      </c>
      <c r="E6" s="11" t="n"/>
      <c r="F6" s="11" t="n"/>
      <c r="G6" s="11" t="n"/>
      <c r="H6" s="12" t="n"/>
      <c r="I6" s="12" t="n"/>
      <c r="J6" s="12" t="n"/>
      <c r="K6" s="12" t="n"/>
      <c r="L6" s="12" t="n"/>
    </row>
    <row r="7" ht="12" customHeight="1">
      <c r="A7" s="13" t="inlineStr">
        <is>
          <t>Copper</t>
        </is>
      </c>
      <c r="D7" s="2" t="n"/>
      <c r="E7" s="14" t="n"/>
      <c r="F7" s="14" t="n"/>
      <c r="G7" s="14" t="n"/>
      <c r="H7" s="14" t="n"/>
      <c r="I7" s="15" t="n"/>
      <c r="J7" s="16" t="n"/>
      <c r="K7" s="15" t="n"/>
      <c r="L7" s="14" t="n"/>
    </row>
    <row r="8" ht="11.25" customHeight="1">
      <c r="A8" s="1" t="inlineStr">
        <is>
          <t>Payable metal in concentrate (kt)</t>
        </is>
      </c>
      <c r="D8" s="2" t="n"/>
      <c r="E8" s="14" t="n"/>
      <c r="F8" s="14" t="n"/>
      <c r="G8" s="14" t="n"/>
      <c r="H8" s="14" t="n"/>
      <c r="I8" s="15" t="n"/>
      <c r="J8" s="16" t="n"/>
      <c r="K8" s="15" t="n"/>
      <c r="L8" s="14" t="n"/>
    </row>
    <row r="9">
      <c r="B9" t="inlineStr">
        <is>
          <t>Escondida 2</t>
        </is>
      </c>
      <c r="D9" s="17" t="n">
        <v>0.575</v>
      </c>
      <c r="E9" s="18" t="n">
        <v>195.6</v>
      </c>
      <c r="F9" s="18" t="n">
        <v>194.7</v>
      </c>
      <c r="G9" s="18" t="n">
        <v>196.2</v>
      </c>
      <c r="H9" s="18" t="n">
        <v>178.2</v>
      </c>
      <c r="I9" s="19" t="n">
        <v>233.5</v>
      </c>
      <c r="J9" s="20" t="n"/>
      <c r="K9" s="19" t="n">
        <v>802.6</v>
      </c>
      <c r="L9" s="18" t="n">
        <v>871.7</v>
      </c>
    </row>
    <row r="10">
      <c r="B10" t="inlineStr">
        <is>
          <t>Pampa Norte 3</t>
        </is>
      </c>
      <c r="D10" s="17" t="n">
        <v>1</v>
      </c>
      <c r="E10" s="18" t="n">
        <v>21.1</v>
      </c>
      <c r="F10" s="18" t="n">
        <v>26.4</v>
      </c>
      <c r="G10" s="18" t="n">
        <v>24.2</v>
      </c>
      <c r="H10" s="18" t="n">
        <v>32.4</v>
      </c>
      <c r="I10" s="19" t="n">
        <v>28.2</v>
      </c>
      <c r="J10" s="20" t="n"/>
      <c r="K10" s="19" t="n">
        <v>111.2</v>
      </c>
      <c r="L10" s="18" t="n">
        <v>27.4</v>
      </c>
    </row>
    <row r="11" ht="11.25" customHeight="1">
      <c r="B11" t="inlineStr">
        <is>
          <t>Antamina</t>
        </is>
      </c>
      <c r="D11" s="17" t="n">
        <v>0.338</v>
      </c>
      <c r="E11" s="18" t="n">
        <v>36.1</v>
      </c>
      <c r="F11" s="18" t="n">
        <v>35.8</v>
      </c>
      <c r="G11" s="18" t="n">
        <v>38.4</v>
      </c>
      <c r="H11" s="18" t="n">
        <v>36.1</v>
      </c>
      <c r="I11" s="19" t="n">
        <v>39.6</v>
      </c>
      <c r="J11" s="20" t="n"/>
      <c r="K11" s="19" t="n">
        <v>149.9</v>
      </c>
      <c r="L11" s="18" t="n">
        <v>144</v>
      </c>
    </row>
    <row r="12" ht="11.25" customHeight="1">
      <c r="B12" t="inlineStr">
        <is>
          <t>Total</t>
        </is>
      </c>
      <c r="D12" s="21" t="n"/>
      <c r="E12" s="22" t="n">
        <v>252.8</v>
      </c>
      <c r="F12" s="22" t="n">
        <v>256.9</v>
      </c>
      <c r="G12" s="22" t="n">
        <v>258.8</v>
      </c>
      <c r="H12" s="22" t="n">
        <v>246.7</v>
      </c>
      <c r="I12" s="23" t="n">
        <v>301.3</v>
      </c>
      <c r="J12" s="16" t="n"/>
      <c r="K12" s="23" t="n">
        <v>1063.7</v>
      </c>
      <c r="L12" s="22" t="n">
        <v>1043.1</v>
      </c>
    </row>
    <row r="13" ht="10.5" customHeight="1">
      <c r="D13" s="21" t="n"/>
      <c r="E13" s="11" t="n"/>
      <c r="F13" s="11" t="n"/>
      <c r="G13" s="11" t="n"/>
      <c r="H13" s="11" t="n"/>
      <c r="I13" s="12" t="n"/>
      <c r="J13" s="16" t="n"/>
      <c r="K13" s="19" t="n"/>
      <c r="L13" s="14" t="n"/>
    </row>
    <row r="14" ht="11.25" customHeight="1">
      <c r="A14" s="1" t="inlineStr">
        <is>
          <t>Cathode (kt)</t>
        </is>
      </c>
      <c r="D14" s="21" t="n"/>
      <c r="E14" s="11" t="n"/>
      <c r="F14" s="11" t="n"/>
      <c r="G14" s="11" t="n"/>
      <c r="H14" s="11" t="n"/>
      <c r="I14" s="12" t="n"/>
      <c r="J14" s="16" t="n"/>
      <c r="K14" s="19" t="n"/>
      <c r="L14" s="14" t="n"/>
    </row>
    <row r="15">
      <c r="B15" t="inlineStr">
        <is>
          <t>Escondida 2</t>
        </is>
      </c>
      <c r="D15" s="17" t="n">
        <v>0.575</v>
      </c>
      <c r="E15" s="18" t="n">
        <v>51.1</v>
      </c>
      <c r="F15" s="18" t="n">
        <v>49</v>
      </c>
      <c r="G15" s="18" t="n">
        <v>48.4</v>
      </c>
      <c r="H15" s="18" t="n">
        <v>48.2</v>
      </c>
      <c r="I15" s="19" t="n">
        <v>55.8</v>
      </c>
      <c r="J15" s="20" t="n"/>
      <c r="K15" s="19" t="n">
        <v>201.4</v>
      </c>
      <c r="L15" s="18" t="n">
        <v>196.5</v>
      </c>
    </row>
    <row r="16">
      <c r="B16" t="inlineStr">
        <is>
          <t>Pampa Norte 3</t>
        </is>
      </c>
      <c r="D16" s="21" t="n">
        <v>1</v>
      </c>
      <c r="E16" s="18" t="n">
        <v>48.3</v>
      </c>
      <c r="F16" s="18" t="n">
        <v>41.1</v>
      </c>
      <c r="G16" s="18" t="n">
        <v>44.1</v>
      </c>
      <c r="H16" s="18" t="n">
        <v>35.8</v>
      </c>
      <c r="I16" s="19" t="n">
        <v>49</v>
      </c>
      <c r="J16" s="20" t="n"/>
      <c r="K16" s="19" t="n">
        <v>170</v>
      </c>
      <c r="L16" s="18" t="n">
        <v>190.8</v>
      </c>
    </row>
    <row r="17" ht="11.25" customHeight="1">
      <c r="B17" t="inlineStr">
        <is>
          <t>Olympic Dam</t>
        </is>
      </c>
      <c r="D17" s="21" t="n">
        <v>1</v>
      </c>
      <c r="E17" s="18" t="n">
        <v>50.8</v>
      </c>
      <c r="F17" s="18" t="n">
        <v>29.5</v>
      </c>
      <c r="G17" s="18" t="n">
        <v>14.2</v>
      </c>
      <c r="H17" s="18" t="n">
        <v>39</v>
      </c>
      <c r="I17" s="19" t="n">
        <v>55.7</v>
      </c>
      <c r="J17" s="20" t="n"/>
      <c r="K17" s="19" t="n">
        <v>138.4</v>
      </c>
      <c r="L17" s="18" t="n">
        <v>205.3</v>
      </c>
    </row>
    <row r="18" ht="11.25" customHeight="1">
      <c r="B18" t="inlineStr">
        <is>
          <t>Total</t>
        </is>
      </c>
      <c r="D18" s="21" t="n"/>
      <c r="E18" s="24" t="n">
        <v>150.2</v>
      </c>
      <c r="F18" s="24" t="n">
        <v>119.6</v>
      </c>
      <c r="G18" s="24" t="n">
        <v>106.7</v>
      </c>
      <c r="H18" s="24" t="n">
        <v>123</v>
      </c>
      <c r="I18" s="25" t="n">
        <v>160.5</v>
      </c>
      <c r="J18" s="16" t="n"/>
      <c r="K18" s="25" t="n">
        <v>509.8</v>
      </c>
      <c r="L18" s="24" t="n">
        <v>592.6</v>
      </c>
    </row>
    <row r="19" ht="10.5" customHeight="1">
      <c r="D19" s="21" t="n"/>
      <c r="E19" s="18" t="n"/>
      <c r="F19" s="18" t="n"/>
      <c r="G19" s="18" t="n"/>
      <c r="H19" s="18" t="n"/>
      <c r="I19" s="19" t="n"/>
      <c r="J19" s="16" t="n"/>
      <c r="K19" s="19" t="n"/>
      <c r="L19" s="18" t="n"/>
    </row>
    <row r="20" ht="11.25" customHeight="1">
      <c r="A20" s="1" t="inlineStr">
        <is>
          <t>Total copper (kt)</t>
        </is>
      </c>
      <c r="C20" s="11" t="n"/>
      <c r="D20" s="21" t="n"/>
      <c r="E20" s="26" t="n">
        <v>403</v>
      </c>
      <c r="F20" s="26" t="n">
        <v>376.5</v>
      </c>
      <c r="G20" s="26" t="n">
        <v>365.5</v>
      </c>
      <c r="H20" s="26" t="n">
        <v>369.7</v>
      </c>
      <c r="I20" s="27" t="n">
        <v>461.8</v>
      </c>
      <c r="J20" s="16" t="n"/>
      <c r="K20" s="27" t="n">
        <v>1573.5</v>
      </c>
      <c r="L20" s="26" t="n">
        <v>1635.7</v>
      </c>
    </row>
    <row r="21" ht="10.5" customHeight="1">
      <c r="B21" s="11" t="n"/>
      <c r="C21" s="11" t="n"/>
      <c r="D21" s="21" t="n"/>
      <c r="E21" s="11" t="n"/>
      <c r="F21" s="11" t="n"/>
      <c r="G21" s="11" t="n"/>
      <c r="H21" s="11" t="n"/>
      <c r="I21" s="12" t="n"/>
      <c r="J21" s="16" t="n"/>
      <c r="K21" s="19" t="n"/>
      <c r="L21" s="14" t="n"/>
    </row>
    <row r="22" ht="11.25" customHeight="1">
      <c r="A22" s="13" t="inlineStr">
        <is>
          <t>Lead</t>
        </is>
      </c>
      <c r="B22" s="11" t="n"/>
      <c r="C22" s="11" t="n"/>
      <c r="D22" s="21" t="n"/>
      <c r="E22" s="11" t="n"/>
      <c r="F22" s="11" t="n"/>
      <c r="G22" s="11" t="n"/>
      <c r="H22" s="11" t="n"/>
      <c r="I22" s="12" t="n"/>
      <c r="J22" s="16" t="n"/>
      <c r="K22" s="19" t="n"/>
      <c r="L22" s="14" t="n"/>
    </row>
    <row r="23" ht="11.25" customHeight="1">
      <c r="A23" s="1" t="inlineStr">
        <is>
          <t>Payable metal in concentrate (t)</t>
        </is>
      </c>
      <c r="B23" s="11" t="n"/>
      <c r="C23" s="11" t="n"/>
      <c r="D23" s="21" t="n"/>
      <c r="E23" s="11" t="n"/>
      <c r="F23" s="11" t="n"/>
      <c r="G23" s="11" t="n"/>
      <c r="H23" s="11" t="n"/>
      <c r="I23" s="12" t="n"/>
      <c r="J23" s="16" t="n"/>
      <c r="K23" s="19" t="n"/>
      <c r="L23" s="14" t="n"/>
    </row>
    <row r="24" ht="11.25" customHeight="1">
      <c r="B24" s="11" t="inlineStr">
        <is>
          <t>Antamina</t>
        </is>
      </c>
      <c r="C24" s="11" t="n"/>
      <c r="D24" s="17" t="n">
        <v>0.338</v>
      </c>
      <c r="E24" s="28" t="n">
        <v>381</v>
      </c>
      <c r="F24" s="28" t="n">
        <v>378</v>
      </c>
      <c r="G24" s="28" t="n">
        <v>277</v>
      </c>
      <c r="H24" s="28" t="n">
        <v>282</v>
      </c>
      <c r="I24" s="29" t="n">
        <v>181</v>
      </c>
      <c r="J24" s="14" t="n"/>
      <c r="K24" s="29" t="n">
        <v>1118</v>
      </c>
      <c r="L24" s="28" t="n">
        <v>2532</v>
      </c>
    </row>
    <row r="25" ht="11.25" customHeight="1">
      <c r="B25" s="11" t="inlineStr">
        <is>
          <t>Total</t>
        </is>
      </c>
      <c r="C25" s="11" t="n"/>
      <c r="D25" s="21" t="n"/>
      <c r="E25" s="30" t="n">
        <v>381</v>
      </c>
      <c r="F25" s="30" t="n">
        <v>378</v>
      </c>
      <c r="G25" s="30" t="n">
        <v>277</v>
      </c>
      <c r="H25" s="30" t="n">
        <v>282</v>
      </c>
      <c r="I25" s="31" t="n">
        <v>181</v>
      </c>
      <c r="J25" s="16" t="n"/>
      <c r="K25" s="31" t="n">
        <v>1118</v>
      </c>
      <c r="L25" s="30" t="n">
        <v>2532</v>
      </c>
    </row>
    <row r="26" ht="10.5" customHeight="1">
      <c r="B26" s="11" t="n"/>
      <c r="C26" s="11" t="n"/>
      <c r="D26" s="21" t="n"/>
      <c r="E26" s="11" t="n"/>
      <c r="F26" s="11" t="n"/>
      <c r="G26" s="11" t="n"/>
      <c r="H26" s="11" t="n"/>
      <c r="I26" s="12" t="n"/>
      <c r="J26" s="16" t="n"/>
      <c r="K26" s="19" t="n"/>
      <c r="L26" s="14" t="n"/>
    </row>
    <row r="27" ht="11.25" customHeight="1">
      <c r="A27" s="13" t="inlineStr">
        <is>
          <t>Zinc</t>
        </is>
      </c>
      <c r="B27" s="11" t="n"/>
      <c r="C27" s="11" t="n"/>
      <c r="D27" s="21" t="n"/>
      <c r="E27" s="11" t="n"/>
      <c r="F27" s="11" t="n"/>
      <c r="G27" s="11" t="n"/>
      <c r="H27" s="11" t="n"/>
      <c r="I27" s="12" t="n"/>
      <c r="J27" s="16" t="n"/>
      <c r="K27" s="19" t="n"/>
      <c r="L27" s="14" t="n"/>
    </row>
    <row r="28" ht="11.25" customHeight="1">
      <c r="A28" s="1" t="inlineStr">
        <is>
          <t>Payable metal in concentrate (t)</t>
        </is>
      </c>
      <c r="B28" s="11" t="n"/>
      <c r="C28" s="11" t="n"/>
      <c r="D28" s="21" t="n"/>
      <c r="E28" s="11" t="n"/>
      <c r="F28" s="11" t="n"/>
      <c r="G28" s="11" t="n"/>
      <c r="H28" s="11" t="n"/>
      <c r="I28" s="12" t="n"/>
      <c r="J28" s="16" t="n"/>
      <c r="K28" s="19" t="n"/>
      <c r="L28" s="14" t="n"/>
    </row>
    <row r="29" ht="11.25" customHeight="1">
      <c r="B29" s="11" t="inlineStr">
        <is>
          <t>Antamina</t>
        </is>
      </c>
      <c r="C29" s="11" t="n"/>
      <c r="D29" s="17" t="n">
        <v>0.338</v>
      </c>
      <c r="E29" s="28" t="n">
        <v>35483</v>
      </c>
      <c r="F29" s="28" t="n">
        <v>33289</v>
      </c>
      <c r="G29" s="28" t="n">
        <v>29603</v>
      </c>
      <c r="H29" s="28" t="n">
        <v>32732</v>
      </c>
      <c r="I29" s="29" t="n">
        <v>27576</v>
      </c>
      <c r="J29" s="14" t="n"/>
      <c r="K29" s="29" t="n">
        <v>123200</v>
      </c>
      <c r="L29" s="28" t="n">
        <v>145089</v>
      </c>
    </row>
    <row r="30" ht="11.25" customHeight="1">
      <c r="B30" s="11" t="inlineStr">
        <is>
          <t>Total</t>
        </is>
      </c>
      <c r="C30" s="11" t="n"/>
      <c r="D30" s="21" t="n"/>
      <c r="E30" s="30" t="n">
        <v>35483</v>
      </c>
      <c r="F30" s="30" t="n">
        <v>33289</v>
      </c>
      <c r="G30" s="30" t="n">
        <v>29603</v>
      </c>
      <c r="H30" s="30" t="n">
        <v>32732</v>
      </c>
      <c r="I30" s="31" t="n">
        <v>27576</v>
      </c>
      <c r="J30" s="16" t="n"/>
      <c r="K30" s="31" t="n">
        <v>123200</v>
      </c>
      <c r="L30" s="30" t="n">
        <v>145089</v>
      </c>
    </row>
    <row r="31" ht="10.5" customHeight="1">
      <c r="B31" s="11" t="n"/>
      <c r="C31" s="11" t="n"/>
      <c r="D31" s="21" t="n"/>
      <c r="E31" s="11" t="n"/>
      <c r="F31" s="11" t="n"/>
      <c r="G31" s="11" t="n"/>
      <c r="H31" s="11" t="n"/>
      <c r="I31" s="12" t="n"/>
      <c r="J31" s="16" t="n"/>
      <c r="K31" s="19" t="n"/>
      <c r="L31" s="14" t="n"/>
    </row>
    <row r="32" ht="11.25" customHeight="1">
      <c r="A32" s="13" t="inlineStr">
        <is>
          <t>Gold</t>
        </is>
      </c>
      <c r="B32" s="11" t="n"/>
      <c r="C32" s="11" t="n"/>
      <c r="D32" s="21" t="n"/>
      <c r="E32" s="11" t="n"/>
      <c r="F32" s="11" t="n"/>
      <c r="G32" s="11" t="n"/>
      <c r="H32" s="11" t="n"/>
      <c r="I32" s="12" t="n"/>
      <c r="J32" s="16" t="n"/>
      <c r="K32" s="19" t="n"/>
      <c r="L32" s="14" t="n"/>
    </row>
    <row r="33" ht="11.25" customHeight="1">
      <c r="A33" s="1" t="inlineStr">
        <is>
          <t>Payable metal in concentrate (troy oz)</t>
        </is>
      </c>
      <c r="B33" s="11" t="n"/>
      <c r="C33" s="11" t="n"/>
      <c r="D33" s="21" t="n"/>
      <c r="E33" s="11" t="n"/>
      <c r="F33" s="11" t="n"/>
      <c r="G33" s="11" t="n"/>
      <c r="H33" s="11" t="n"/>
      <c r="I33" s="12" t="n"/>
      <c r="J33" s="16" t="n"/>
      <c r="K33" s="19" t="n"/>
      <c r="L33" s="14" t="n"/>
    </row>
    <row r="34">
      <c r="B34" s="11" t="inlineStr">
        <is>
          <t>Escondida 2</t>
        </is>
      </c>
      <c r="C34" s="11" t="n"/>
      <c r="D34" s="17" t="n">
        <v>0.575</v>
      </c>
      <c r="E34" s="28" t="n">
        <v>38893</v>
      </c>
      <c r="F34" s="28" t="n">
        <v>41962</v>
      </c>
      <c r="G34" s="28" t="n">
        <v>42937</v>
      </c>
      <c r="H34" s="28" t="n">
        <v>36303</v>
      </c>
      <c r="I34" s="29" t="n">
        <v>45770</v>
      </c>
      <c r="J34" s="14" t="n"/>
      <c r="K34" s="29" t="n">
        <v>166972</v>
      </c>
      <c r="L34" s="28" t="n">
        <v>166968</v>
      </c>
    </row>
    <row r="35">
      <c r="B35" s="11" t="inlineStr">
        <is>
          <t>Pampa Norte 3</t>
        </is>
      </c>
      <c r="C35" s="11" t="n"/>
      <c r="D35" s="21" t="n">
        <v>1</v>
      </c>
      <c r="E35" s="28" t="n">
        <v>4728</v>
      </c>
      <c r="F35" s="28" t="n">
        <v>6967</v>
      </c>
      <c r="G35" s="28" t="n">
        <v>5776</v>
      </c>
      <c r="H35" s="28" t="n">
        <v>7929</v>
      </c>
      <c r="I35" s="29" t="n">
        <v>8198</v>
      </c>
      <c r="J35" s="14" t="n"/>
      <c r="K35" s="29" t="n">
        <v>28870</v>
      </c>
      <c r="L35" s="28" t="n">
        <v>4728</v>
      </c>
    </row>
    <row r="36">
      <c r="B36" s="11" t="inlineStr">
        <is>
          <t>Olympic Dam (refined gold)</t>
        </is>
      </c>
      <c r="C36" s="11" t="n"/>
      <c r="D36" s="21" t="n">
        <v>1</v>
      </c>
      <c r="E36" s="28" t="n">
        <v>48478</v>
      </c>
      <c r="F36" s="28" t="n">
        <v>26277</v>
      </c>
      <c r="G36" s="28" t="n">
        <v>37805</v>
      </c>
      <c r="H36" s="28" t="n">
        <v>29355</v>
      </c>
      <c r="I36" s="29" t="n">
        <v>26080</v>
      </c>
      <c r="J36" s="14" t="n"/>
      <c r="K36" s="29" t="n">
        <v>119517</v>
      </c>
      <c r="L36" s="28" t="n">
        <v>145998</v>
      </c>
    </row>
    <row r="37">
      <c r="B37" s="11" t="inlineStr">
        <is>
          <t>Total</t>
        </is>
      </c>
      <c r="C37" s="11" t="n"/>
      <c r="D37" s="21" t="n"/>
      <c r="E37" s="30" t="n">
        <v>92099</v>
      </c>
      <c r="F37" s="30" t="n">
        <v>75206</v>
      </c>
      <c r="G37" s="30" t="n">
        <v>86518</v>
      </c>
      <c r="H37" s="30" t="n">
        <v>73587</v>
      </c>
      <c r="I37" s="31" t="n">
        <v>80048</v>
      </c>
      <c r="J37" s="16" t="n"/>
      <c r="K37" s="31" t="n">
        <v>315359</v>
      </c>
      <c r="L37" s="30" t="n">
        <v>317694</v>
      </c>
    </row>
    <row r="38" ht="10.5" customHeight="1">
      <c r="B38" s="11" t="n"/>
      <c r="C38" s="11" t="n"/>
      <c r="D38" s="21" t="n"/>
      <c r="E38" s="11" t="n"/>
      <c r="F38" s="11" t="n"/>
      <c r="G38" s="11" t="n"/>
      <c r="H38" s="11" t="n"/>
      <c r="I38" s="12" t="n"/>
      <c r="J38" s="16" t="n"/>
      <c r="K38" s="19" t="n"/>
      <c r="L38" s="14" t="n"/>
    </row>
    <row r="39" ht="11.25" customHeight="1">
      <c r="A39" s="13" t="inlineStr">
        <is>
          <t>Silver</t>
        </is>
      </c>
      <c r="B39" s="11" t="n"/>
      <c r="C39" s="11" t="n"/>
      <c r="D39" s="21" t="n"/>
      <c r="E39" s="11" t="n"/>
      <c r="F39" s="11" t="n"/>
      <c r="G39" s="11" t="n"/>
      <c r="H39" s="11" t="n"/>
      <c r="I39" s="12" t="n"/>
      <c r="J39" s="16" t="n"/>
      <c r="K39" s="19" t="n"/>
      <c r="L39" s="14" t="n"/>
    </row>
    <row r="40" ht="11.25" customHeight="1">
      <c r="A40" s="1" t="inlineStr">
        <is>
          <t>Payable metal in concentrate (troy koz)</t>
        </is>
      </c>
      <c r="B40" s="11" t="n"/>
      <c r="C40" s="11" t="n"/>
      <c r="D40" s="21" t="n"/>
      <c r="E40" s="11" t="n"/>
      <c r="F40" s="11" t="n"/>
      <c r="G40" s="11" t="n"/>
      <c r="H40" s="11" t="n"/>
      <c r="I40" s="12" t="n"/>
      <c r="J40" s="16" t="n"/>
      <c r="K40" s="19" t="n"/>
      <c r="L40" s="14" t="n"/>
    </row>
    <row r="41">
      <c r="B41" s="11" t="inlineStr">
        <is>
          <t>Escondida 2</t>
        </is>
      </c>
      <c r="C41" s="11" t="n"/>
      <c r="D41" s="17" t="n">
        <v>0.575</v>
      </c>
      <c r="E41" s="28" t="n">
        <v>1234</v>
      </c>
      <c r="F41" s="28" t="n">
        <v>1291</v>
      </c>
      <c r="G41" s="28" t="n">
        <v>1462</v>
      </c>
      <c r="H41" s="28" t="n">
        <v>1270</v>
      </c>
      <c r="I41" s="29" t="n">
        <v>1311</v>
      </c>
      <c r="J41" s="14" t="n"/>
      <c r="K41" s="29" t="n">
        <v>5334</v>
      </c>
      <c r="L41" s="28" t="n">
        <v>5759</v>
      </c>
    </row>
    <row r="42">
      <c r="B42" s="11" t="inlineStr">
        <is>
          <t>Pampa Norte 3</t>
        </is>
      </c>
      <c r="C42" s="11" t="n"/>
      <c r="D42" s="21" t="n">
        <v>1</v>
      </c>
      <c r="E42" s="28" t="n">
        <v>214</v>
      </c>
      <c r="F42" s="28" t="n">
        <v>273</v>
      </c>
      <c r="G42" s="28" t="n">
        <v>215</v>
      </c>
      <c r="H42" s="28" t="n">
        <v>261</v>
      </c>
      <c r="I42" s="29" t="n">
        <v>262</v>
      </c>
      <c r="J42" s="14" t="n"/>
      <c r="K42" s="29" t="n">
        <v>1011</v>
      </c>
      <c r="L42" s="28" t="n">
        <v>214</v>
      </c>
    </row>
    <row r="43" ht="11.25" customHeight="1">
      <c r="B43" s="11" t="inlineStr">
        <is>
          <t>Antamina</t>
        </is>
      </c>
      <c r="C43" s="11" t="n"/>
      <c r="D43" s="17" t="n">
        <v>0.338</v>
      </c>
      <c r="E43" s="28" t="n">
        <v>1409</v>
      </c>
      <c r="F43" s="28" t="n">
        <v>1367</v>
      </c>
      <c r="G43" s="28" t="n">
        <v>1308</v>
      </c>
      <c r="H43" s="28" t="n">
        <v>1191</v>
      </c>
      <c r="I43" s="29" t="n">
        <v>1212</v>
      </c>
      <c r="J43" s="14" t="n"/>
      <c r="K43" s="29" t="n">
        <v>5078</v>
      </c>
      <c r="L43" s="28" t="n">
        <v>5965</v>
      </c>
    </row>
    <row r="44" ht="11.25" customHeight="1">
      <c r="B44" s="11" t="inlineStr">
        <is>
          <t>Olympic Dam (refined silver)</t>
        </is>
      </c>
      <c r="C44" s="11" t="n"/>
      <c r="D44" s="21" t="n">
        <v>1</v>
      </c>
      <c r="E44" s="28" t="n">
        <v>185</v>
      </c>
      <c r="F44" s="28" t="n">
        <v>191</v>
      </c>
      <c r="G44" s="28" t="n">
        <v>258</v>
      </c>
      <c r="H44" s="28" t="n">
        <v>149</v>
      </c>
      <c r="I44" s="29" t="n">
        <v>145</v>
      </c>
      <c r="J44" s="14" t="n"/>
      <c r="K44" s="29" t="n">
        <v>743</v>
      </c>
      <c r="L44" s="28" t="n">
        <v>810</v>
      </c>
    </row>
    <row r="45" ht="11.25" customHeight="1">
      <c r="B45" s="11" t="inlineStr">
        <is>
          <t>Total</t>
        </is>
      </c>
      <c r="C45" s="11" t="n"/>
      <c r="D45" s="21" t="n"/>
      <c r="E45" s="30" t="n">
        <v>3042</v>
      </c>
      <c r="F45" s="30" t="n">
        <v>3122</v>
      </c>
      <c r="G45" s="30" t="n">
        <v>3243</v>
      </c>
      <c r="H45" s="30" t="n">
        <v>2871</v>
      </c>
      <c r="I45" s="31" t="n">
        <v>2930</v>
      </c>
      <c r="J45" s="16" t="n"/>
      <c r="K45" s="31" t="n">
        <v>12166</v>
      </c>
      <c r="L45" s="30" t="n">
        <v>12748</v>
      </c>
    </row>
    <row r="46" ht="10.5" customHeight="1">
      <c r="B46" s="11" t="n"/>
      <c r="C46" s="11" t="n"/>
      <c r="D46" s="21" t="n"/>
      <c r="E46" s="11" t="n"/>
      <c r="F46" s="11" t="n"/>
      <c r="G46" s="11" t="n"/>
      <c r="H46" s="11" t="n"/>
      <c r="I46" s="12" t="n"/>
      <c r="J46" s="16" t="n"/>
      <c r="K46" s="19" t="n"/>
      <c r="L46" s="14" t="n"/>
    </row>
    <row r="47" ht="11.25" customHeight="1">
      <c r="A47" s="13" t="inlineStr">
        <is>
          <t>Uranium</t>
        </is>
      </c>
      <c r="B47" s="11" t="n"/>
      <c r="C47" s="11" t="n"/>
      <c r="D47" s="21" t="n"/>
      <c r="E47" s="11" t="n"/>
      <c r="F47" s="11" t="n"/>
      <c r="G47" s="11" t="n"/>
      <c r="H47" s="11" t="n"/>
      <c r="I47" s="12" t="n"/>
      <c r="J47" s="16" t="n"/>
      <c r="K47" s="19" t="n"/>
      <c r="L47" s="14" t="n"/>
    </row>
    <row r="48" ht="11.25" customHeight="1">
      <c r="A48" s="1" t="inlineStr">
        <is>
          <t>Payable metal in concentrate (t)</t>
        </is>
      </c>
      <c r="B48" s="11" t="n"/>
      <c r="C48" s="11" t="n"/>
      <c r="D48" s="21" t="n"/>
      <c r="E48" s="11" t="n"/>
      <c r="F48" s="11" t="n"/>
      <c r="G48" s="11" t="n"/>
      <c r="H48" s="11" t="n"/>
      <c r="I48" s="12" t="n"/>
      <c r="J48" s="16" t="n"/>
      <c r="K48" s="19" t="n"/>
      <c r="L48" s="14" t="n"/>
    </row>
    <row r="49" ht="11.25" customHeight="1">
      <c r="A49" s="1" t="n"/>
      <c r="B49" s="11" t="inlineStr">
        <is>
          <t>Olympic Dam</t>
        </is>
      </c>
      <c r="C49" s="11" t="n"/>
      <c r="D49" s="21" t="n">
        <v>1</v>
      </c>
      <c r="E49" s="28" t="n">
        <v>614</v>
      </c>
      <c r="F49" s="28" t="n">
        <v>531</v>
      </c>
      <c r="G49" s="28" t="n">
        <v>287</v>
      </c>
      <c r="H49" s="28" t="n">
        <v>781</v>
      </c>
      <c r="I49" s="29" t="n">
        <v>776</v>
      </c>
      <c r="J49" s="14" t="n"/>
      <c r="K49" s="29" t="n">
        <v>2375</v>
      </c>
      <c r="L49" s="28" t="n">
        <v>3267</v>
      </c>
    </row>
    <row r="50" ht="11.25" customHeight="1">
      <c r="B50" s="11" t="inlineStr">
        <is>
          <t>Total</t>
        </is>
      </c>
      <c r="C50" s="11" t="n"/>
      <c r="D50" s="21" t="n"/>
      <c r="E50" s="30" t="n">
        <v>614</v>
      </c>
      <c r="F50" s="30" t="n">
        <v>531</v>
      </c>
      <c r="G50" s="30" t="n">
        <v>287</v>
      </c>
      <c r="H50" s="30" t="n">
        <v>781</v>
      </c>
      <c r="I50" s="31" t="n">
        <v>776</v>
      </c>
      <c r="J50" s="16" t="n"/>
      <c r="K50" s="31" t="n">
        <v>2375</v>
      </c>
      <c r="L50" s="30" t="n">
        <v>3267</v>
      </c>
    </row>
    <row r="51" ht="10.5" customHeight="1">
      <c r="B51" s="11" t="n"/>
      <c r="C51" s="11" t="n"/>
      <c r="D51" s="21" t="n"/>
      <c r="E51" s="11" t="n"/>
      <c r="F51" s="11" t="n"/>
      <c r="G51" s="11" t="n"/>
      <c r="H51" s="11" t="n"/>
      <c r="I51" s="12" t="n"/>
      <c r="J51" s="16" t="n"/>
      <c r="K51" s="19" t="n"/>
      <c r="L51" s="14" t="n"/>
    </row>
    <row r="52" ht="11.25" customHeight="1">
      <c r="A52" s="13" t="inlineStr">
        <is>
          <t>Molybdenum</t>
        </is>
      </c>
      <c r="B52" s="11" t="n"/>
      <c r="C52" s="11" t="n"/>
      <c r="D52" s="21" t="n"/>
      <c r="E52" s="11" t="n"/>
      <c r="F52" s="11" t="n"/>
      <c r="G52" s="11" t="n"/>
      <c r="H52" s="11" t="n"/>
      <c r="I52" s="12" t="n"/>
      <c r="J52" s="16" t="n"/>
      <c r="K52" s="19" t="n"/>
      <c r="L52" s="14" t="n"/>
    </row>
    <row r="53" ht="11.25" customHeight="1">
      <c r="A53" s="1" t="inlineStr">
        <is>
          <t>Payable metal in concentrate (t)</t>
        </is>
      </c>
      <c r="B53" s="11" t="n"/>
      <c r="C53" s="11" t="n"/>
      <c r="D53" s="21" t="n"/>
      <c r="E53" s="11" t="n"/>
      <c r="F53" s="11" t="n"/>
      <c r="G53" s="11" t="n"/>
      <c r="H53" s="11" t="n"/>
      <c r="I53" s="12" t="n"/>
      <c r="J53" s="16" t="n"/>
      <c r="K53" s="19" t="n"/>
      <c r="L53" s="14" t="n"/>
    </row>
    <row r="54">
      <c r="A54" s="1" t="n"/>
      <c r="B54" s="11" t="inlineStr">
        <is>
          <t>Pampa Norte 3</t>
        </is>
      </c>
      <c r="C54" s="11" t="n"/>
      <c r="D54" s="21" t="n">
        <v>1</v>
      </c>
      <c r="E54" s="28" t="n">
        <v>0</v>
      </c>
      <c r="F54" s="28" t="n">
        <v>0</v>
      </c>
      <c r="G54" s="28" t="n">
        <v>0</v>
      </c>
      <c r="H54" s="28" t="n">
        <v>0</v>
      </c>
      <c r="I54" s="29" t="n">
        <v>71</v>
      </c>
      <c r="J54" s="14" t="n"/>
      <c r="K54" s="29">
        <f>SUM(E54:I54)</f>
        <v/>
      </c>
      <c r="L54" s="28" t="n">
        <v>0</v>
      </c>
    </row>
    <row r="55" ht="11.25" customHeight="1">
      <c r="A55" s="1" t="n"/>
      <c r="B55" s="11" t="inlineStr">
        <is>
          <t>Antamina</t>
        </is>
      </c>
      <c r="C55" s="11" t="n"/>
      <c r="D55" s="17" t="n">
        <v>0.338</v>
      </c>
      <c r="E55" s="28" t="n">
        <v>111</v>
      </c>
      <c r="F55" s="28" t="n">
        <v>142</v>
      </c>
      <c r="G55" s="28" t="n">
        <v>217</v>
      </c>
      <c r="H55" s="28" t="n">
        <v>190</v>
      </c>
      <c r="I55" s="29" t="n">
        <v>249</v>
      </c>
      <c r="J55" s="14" t="n"/>
      <c r="K55" s="29" t="n">
        <v>798</v>
      </c>
      <c r="L55" s="28" t="n">
        <v>863</v>
      </c>
    </row>
    <row r="56" ht="11.25" customHeight="1">
      <c r="B56" s="11" t="inlineStr">
        <is>
          <t>Total</t>
        </is>
      </c>
      <c r="C56" s="11" t="n"/>
      <c r="D56" s="21" t="n"/>
      <c r="E56" s="32" t="n">
        <v>111</v>
      </c>
      <c r="F56" s="32" t="n">
        <v>142</v>
      </c>
      <c r="G56" s="32" t="n">
        <v>217</v>
      </c>
      <c r="H56" s="32" t="n">
        <v>190</v>
      </c>
      <c r="I56" s="33" t="n">
        <v>320</v>
      </c>
      <c r="J56" s="16" t="n"/>
      <c r="K56" s="31" t="n">
        <v>869</v>
      </c>
      <c r="L56" s="30" t="n">
        <v>863</v>
      </c>
    </row>
    <row r="57" ht="9.75" customHeight="1">
      <c r="B57" s="11" t="n"/>
      <c r="C57" s="11" t="n"/>
      <c r="D57" s="21" t="n"/>
      <c r="E57" s="34" t="n"/>
      <c r="F57" s="34" t="n"/>
      <c r="G57" s="34" t="n"/>
      <c r="H57" s="34" t="n"/>
      <c r="I57" s="35" t="n"/>
      <c r="J57" s="16" t="n"/>
      <c r="K57" s="35" t="n"/>
      <c r="L57" s="34" t="n"/>
    </row>
    <row r="58" ht="7.5" customHeight="1">
      <c r="B58" s="11" t="n"/>
      <c r="C58" s="11" t="n"/>
      <c r="D58" s="21" t="n"/>
      <c r="E58" s="36" t="n"/>
      <c r="F58" s="36" t="n"/>
      <c r="G58" s="36" t="n"/>
      <c r="H58" s="36" t="n"/>
      <c r="I58" s="36" t="n"/>
      <c r="J58" s="5" t="n"/>
      <c r="K58" s="36" t="n"/>
      <c r="L58" s="37" t="n"/>
    </row>
    <row r="59">
      <c r="A59" s="1" t="inlineStr">
        <is>
          <t>Iron Ore</t>
        </is>
      </c>
      <c r="B59" s="11" t="n"/>
      <c r="C59" s="11" t="n"/>
      <c r="D59" s="11" t="n"/>
      <c r="E59" s="11" t="n"/>
      <c r="F59" s="11" t="n"/>
      <c r="G59" s="11" t="n"/>
      <c r="H59" s="12" t="n"/>
      <c r="I59" s="12" t="n"/>
      <c r="J59" s="12" t="n"/>
      <c r="K59" s="12" t="n"/>
      <c r="L59" s="12" t="n"/>
    </row>
    <row r="60" ht="11.25" customHeight="1">
      <c r="A60" s="13" t="inlineStr">
        <is>
          <t>Iron Ore</t>
        </is>
      </c>
      <c r="B60" s="11" t="n"/>
      <c r="C60" s="11" t="n"/>
      <c r="D60" s="21" t="n"/>
      <c r="E60" s="11" t="n"/>
      <c r="F60" s="11" t="n"/>
      <c r="G60" s="11" t="n"/>
      <c r="H60" s="11" t="n"/>
      <c r="I60" s="12" t="n"/>
      <c r="J60" s="16" t="n"/>
      <c r="K60" s="19" t="n"/>
      <c r="L60" s="14" t="n"/>
    </row>
    <row r="61">
      <c r="A61" s="1" t="inlineStr">
        <is>
          <t>Production (kt) 4</t>
        </is>
      </c>
      <c r="B61" s="11" t="n"/>
      <c r="C61" s="11" t="n"/>
      <c r="D61" s="21" t="n"/>
      <c r="E61" s="11" t="n"/>
      <c r="F61" s="11" t="n"/>
      <c r="G61" s="11" t="n"/>
      <c r="H61" s="11" t="n"/>
      <c r="I61" s="12" t="n"/>
      <c r="J61" s="16" t="n"/>
      <c r="K61" s="19" t="n"/>
      <c r="L61" s="14" t="n"/>
    </row>
    <row r="62" ht="11.25" customHeight="1">
      <c r="B62" s="11" t="inlineStr">
        <is>
          <t>Newman</t>
        </is>
      </c>
      <c r="C62" s="11" t="n"/>
      <c r="D62" s="21" t="n">
        <v>0.85</v>
      </c>
      <c r="E62" s="28" t="n">
        <v>14560</v>
      </c>
      <c r="F62" s="28" t="n">
        <v>16461</v>
      </c>
      <c r="G62" s="28" t="n">
        <v>14577</v>
      </c>
      <c r="H62" s="38" t="n">
        <v>11940</v>
      </c>
      <c r="I62" s="29" t="n">
        <v>14063</v>
      </c>
      <c r="J62" s="14" t="n"/>
      <c r="K62" s="29" t="n">
        <v>57041</v>
      </c>
      <c r="L62" s="28" t="n">
        <v>63221</v>
      </c>
    </row>
    <row r="63" ht="11.25" customHeight="1">
      <c r="B63" s="11" t="inlineStr">
        <is>
          <t>Area C Joint Venture</t>
        </is>
      </c>
      <c r="C63" s="11" t="n"/>
      <c r="D63" s="21" t="n">
        <v>0.85</v>
      </c>
      <c r="E63" s="28" t="n">
        <v>15920</v>
      </c>
      <c r="F63" s="28" t="n">
        <v>18947</v>
      </c>
      <c r="G63" s="28" t="n">
        <v>22911</v>
      </c>
      <c r="H63" s="28" t="n">
        <v>24888</v>
      </c>
      <c r="I63" s="29" t="n">
        <v>27685</v>
      </c>
      <c r="J63" s="14" t="n"/>
      <c r="K63" s="29" t="n">
        <v>94431</v>
      </c>
      <c r="L63" s="28" t="n">
        <v>52386</v>
      </c>
    </row>
    <row r="64" ht="11.25" customHeight="1">
      <c r="B64" s="11" t="inlineStr">
        <is>
          <t>Yandi Joint Venture</t>
        </is>
      </c>
      <c r="C64" s="11" t="n"/>
      <c r="D64" s="21" t="n">
        <v>0.85</v>
      </c>
      <c r="E64" s="28" t="n">
        <v>18405</v>
      </c>
      <c r="F64" s="28" t="n">
        <v>11834</v>
      </c>
      <c r="G64" s="28" t="n">
        <v>12261</v>
      </c>
      <c r="H64" s="28" t="n">
        <v>8418</v>
      </c>
      <c r="I64" s="29" t="n">
        <v>6409</v>
      </c>
      <c r="J64" s="14" t="n"/>
      <c r="K64" s="29" t="n">
        <v>38922</v>
      </c>
      <c r="L64" s="28" t="n">
        <v>68596</v>
      </c>
    </row>
    <row r="65">
      <c r="B65" s="11" t="inlineStr">
        <is>
          <t>Jimblebar 5</t>
        </is>
      </c>
      <c r="C65" s="11" t="n"/>
      <c r="D65" s="21" t="n">
        <v>0.85</v>
      </c>
      <c r="E65" s="28" t="n">
        <v>15337</v>
      </c>
      <c r="F65" s="28" t="n">
        <v>15009</v>
      </c>
      <c r="G65" s="28" t="n">
        <v>15324</v>
      </c>
      <c r="H65" s="38" t="n">
        <v>13444</v>
      </c>
      <c r="I65" s="29" t="n">
        <v>15005</v>
      </c>
      <c r="J65" s="14" t="n"/>
      <c r="K65" s="29" t="n">
        <v>58782</v>
      </c>
      <c r="L65" s="28" t="n">
        <v>67393</v>
      </c>
    </row>
    <row r="66" ht="11.25" customHeight="1">
      <c r="B66" s="11" t="inlineStr">
        <is>
          <t>Samarco</t>
        </is>
      </c>
      <c r="C66" s="11" t="n"/>
      <c r="D66" s="21" t="n">
        <v>0.5</v>
      </c>
      <c r="E66" s="28" t="n">
        <v>1023</v>
      </c>
      <c r="F66" s="28" t="n">
        <v>1048</v>
      </c>
      <c r="G66" s="28" t="n">
        <v>1029</v>
      </c>
      <c r="H66" s="28" t="n">
        <v>994</v>
      </c>
      <c r="I66" s="29" t="n">
        <v>1000</v>
      </c>
      <c r="J66" s="14" t="n"/>
      <c r="K66" s="29" t="n">
        <v>4071</v>
      </c>
      <c r="L66" s="28" t="n">
        <v>1938</v>
      </c>
    </row>
    <row r="67" ht="11.25" customHeight="1">
      <c r="B67" s="11" t="inlineStr">
        <is>
          <t>Total</t>
        </is>
      </c>
      <c r="C67" s="11" t="n"/>
      <c r="D67" s="21" t="n"/>
      <c r="E67" s="30" t="n">
        <v>65245</v>
      </c>
      <c r="F67" s="30" t="n">
        <v>63299</v>
      </c>
      <c r="G67" s="30" t="n">
        <v>66102</v>
      </c>
      <c r="H67" s="39" t="n">
        <v>59684</v>
      </c>
      <c r="I67" s="31" t="n">
        <v>64162</v>
      </c>
      <c r="J67" s="16" t="n"/>
      <c r="K67" s="31" t="n">
        <v>253247</v>
      </c>
      <c r="L67" s="30" t="n">
        <v>253534</v>
      </c>
    </row>
    <row r="68" ht="9.75" customHeight="1">
      <c r="B68" s="11" t="n"/>
      <c r="C68" s="11" t="n"/>
      <c r="D68" s="21" t="n"/>
      <c r="E68" s="11" t="n"/>
      <c r="F68" s="11" t="n"/>
      <c r="G68" s="11" t="n"/>
      <c r="H68" s="11" t="n"/>
      <c r="I68" s="12" t="n"/>
      <c r="J68" s="16" t="n"/>
      <c r="K68" s="19" t="n"/>
      <c r="L68" s="14" t="n"/>
    </row>
    <row r="69">
      <c r="A69" s="1" t="inlineStr">
        <is>
          <t>Coal</t>
        </is>
      </c>
      <c r="B69" s="11" t="n"/>
      <c r="C69" s="11" t="n"/>
      <c r="D69" s="11" t="n"/>
      <c r="E69" s="11" t="n"/>
      <c r="F69" s="11" t="n"/>
      <c r="G69" s="11" t="n"/>
      <c r="H69" s="12" t="n"/>
      <c r="I69" s="12" t="n"/>
      <c r="J69" s="12" t="n"/>
      <c r="K69" s="12" t="n"/>
      <c r="L69" s="12" t="n"/>
    </row>
    <row r="70" ht="11.25" customHeight="1">
      <c r="A70" s="13" t="inlineStr">
        <is>
          <t>Metallurgical coal</t>
        </is>
      </c>
      <c r="B70" s="11" t="n"/>
      <c r="C70" s="11" t="n"/>
      <c r="D70" s="21" t="n"/>
      <c r="E70" s="11" t="n"/>
      <c r="F70" s="11" t="n"/>
      <c r="G70" s="11" t="n"/>
      <c r="H70" s="11" t="n"/>
      <c r="I70" s="12" t="n"/>
      <c r="J70" s="16" t="n"/>
      <c r="K70" s="19" t="n"/>
      <c r="L70" s="14" t="n"/>
    </row>
    <row r="71">
      <c r="A71" s="1" t="inlineStr">
        <is>
          <t>Production (kt) 6</t>
        </is>
      </c>
      <c r="B71" s="12" t="n"/>
      <c r="C71" s="11" t="n"/>
      <c r="D71" s="21" t="n"/>
      <c r="E71" s="11" t="n"/>
      <c r="F71" s="11" t="n"/>
      <c r="G71" s="11" t="n"/>
      <c r="H71" s="11" t="n"/>
      <c r="I71" s="12" t="n"/>
      <c r="J71" s="16" t="n"/>
      <c r="K71" s="19" t="n"/>
      <c r="L71" s="14" t="n"/>
    </row>
    <row r="72" ht="11.25" customHeight="1">
      <c r="B72" s="11" t="inlineStr">
        <is>
          <t>BHP Mitsubishi Alliance (BMA)</t>
        </is>
      </c>
      <c r="C72" s="11" t="n"/>
      <c r="D72" s="21" t="n">
        <v>0.5</v>
      </c>
      <c r="E72" s="28" t="n">
        <v>9253</v>
      </c>
      <c r="F72" s="28" t="n">
        <v>6715</v>
      </c>
      <c r="G72" s="28" t="n">
        <v>6300</v>
      </c>
      <c r="H72" s="28" t="n">
        <v>7944</v>
      </c>
      <c r="I72" s="29" t="n">
        <v>8183</v>
      </c>
      <c r="J72" s="14" t="n"/>
      <c r="K72" s="29" t="n">
        <v>29142</v>
      </c>
      <c r="L72" s="28" t="n">
        <v>31884</v>
      </c>
    </row>
    <row r="73" ht="11.25" customHeight="1">
      <c r="B73" s="11" t="inlineStr">
        <is>
          <t>Total</t>
        </is>
      </c>
      <c r="C73" s="11" t="n"/>
      <c r="D73" s="21" t="n"/>
      <c r="E73" s="30" t="n">
        <v>9253</v>
      </c>
      <c r="F73" s="30" t="n">
        <v>6715</v>
      </c>
      <c r="G73" s="30" t="n">
        <v>6300</v>
      </c>
      <c r="H73" s="30" t="n">
        <v>7944</v>
      </c>
      <c r="I73" s="31" t="n">
        <v>8183</v>
      </c>
      <c r="J73" s="16" t="n"/>
      <c r="K73" s="31" t="n">
        <v>29142</v>
      </c>
      <c r="L73" s="30" t="n">
        <v>31884</v>
      </c>
    </row>
    <row r="74" ht="11.25" customHeight="1">
      <c r="B74" s="11" t="n"/>
      <c r="C74" s="11" t="n"/>
      <c r="D74" s="21" t="n"/>
      <c r="E74" s="11" t="n"/>
      <c r="F74" s="11" t="n"/>
      <c r="G74" s="11" t="n"/>
      <c r="H74" s="11" t="n"/>
      <c r="I74" s="12" t="n"/>
      <c r="J74" s="16" t="n"/>
      <c r="K74" s="19" t="n"/>
      <c r="L74" s="14" t="n"/>
    </row>
    <row r="75">
      <c r="A75" s="1" t="inlineStr">
        <is>
          <t>Production (kt) 6</t>
        </is>
      </c>
      <c r="B75" s="12" t="n"/>
      <c r="C75" s="11" t="n"/>
      <c r="D75" s="21" t="n"/>
      <c r="E75" s="11" t="n"/>
      <c r="F75" s="11" t="n"/>
      <c r="G75" s="11" t="n"/>
      <c r="H75" s="11" t="n"/>
      <c r="I75" s="12" t="n"/>
      <c r="J75" s="16" t="n"/>
      <c r="K75" s="19" t="n"/>
      <c r="L75" s="14" t="n"/>
    </row>
    <row r="76">
      <c r="B76" s="11" t="inlineStr">
        <is>
          <t>BHP Mitsui Coal (BMC) 7 8</t>
        </is>
      </c>
      <c r="C76" s="11" t="n"/>
      <c r="D76" s="21" t="n">
        <v>0.8</v>
      </c>
      <c r="E76" s="28" t="n">
        <v>2570</v>
      </c>
      <c r="F76" s="28" t="n">
        <v>2135</v>
      </c>
      <c r="G76" s="28" t="n">
        <v>2518</v>
      </c>
      <c r="H76" s="28" t="n">
        <v>2618</v>
      </c>
      <c r="I76" s="29" t="n">
        <v>651</v>
      </c>
      <c r="J76" s="14" t="n"/>
      <c r="K76" s="29" t="n">
        <v>7922</v>
      </c>
      <c r="L76" s="28" t="n">
        <v>8741</v>
      </c>
    </row>
    <row r="77" ht="11.25" customHeight="1">
      <c r="B77" s="11" t="inlineStr">
        <is>
          <t>Total</t>
        </is>
      </c>
      <c r="C77" s="11" t="n"/>
      <c r="D77" s="21" t="n"/>
      <c r="E77" s="30" t="n">
        <v>2570</v>
      </c>
      <c r="F77" s="30" t="n">
        <v>2135</v>
      </c>
      <c r="G77" s="30" t="n">
        <v>2518</v>
      </c>
      <c r="H77" s="30" t="n">
        <v>2618</v>
      </c>
      <c r="I77" s="31" t="n">
        <v>651</v>
      </c>
      <c r="J77" s="16" t="n"/>
      <c r="K77" s="31" t="n">
        <v>7922</v>
      </c>
      <c r="L77" s="30" t="n">
        <v>8741</v>
      </c>
    </row>
    <row r="78" ht="11.25" customHeight="1">
      <c r="B78" s="11" t="n"/>
      <c r="C78" s="11" t="n"/>
      <c r="D78" s="21" t="n"/>
      <c r="E78" s="11" t="n"/>
      <c r="F78" s="11" t="n"/>
      <c r="G78" s="11" t="n"/>
      <c r="H78" s="11" t="n"/>
      <c r="I78" s="12" t="n"/>
      <c r="J78" s="16" t="n"/>
      <c r="K78" s="19" t="n"/>
      <c r="L78" s="14" t="n"/>
    </row>
    <row r="79" ht="11.25" customHeight="1">
      <c r="A79" s="13" t="inlineStr">
        <is>
          <t>Energy coal</t>
        </is>
      </c>
      <c r="B79" s="5" t="n"/>
      <c r="C79" s="11" t="n"/>
      <c r="D79" s="21" t="n"/>
      <c r="E79" s="11" t="n"/>
      <c r="F79" s="11" t="n"/>
      <c r="G79" s="11" t="n"/>
      <c r="H79" s="11" t="n"/>
      <c r="I79" s="12" t="n"/>
      <c r="J79" s="16" t="n"/>
      <c r="K79" s="19" t="n"/>
      <c r="L79" s="14" t="n"/>
    </row>
    <row r="80" ht="11.25" customHeight="1">
      <c r="A80" s="1" t="inlineStr">
        <is>
          <t>Production (kt)</t>
        </is>
      </c>
      <c r="B80" s="11" t="n"/>
      <c r="C80" s="11" t="n"/>
      <c r="D80" s="21" t="n"/>
      <c r="E80" s="11" t="n"/>
      <c r="F80" s="11" t="n"/>
      <c r="G80" s="11" t="n"/>
      <c r="H80" s="11" t="n"/>
      <c r="I80" s="12" t="n"/>
      <c r="J80" s="16" t="n"/>
      <c r="K80" s="19" t="n"/>
      <c r="L80" s="14" t="n"/>
    </row>
    <row r="81" ht="11.25" customHeight="1">
      <c r="B81" s="11" t="inlineStr">
        <is>
          <t>NSW Energy Coal</t>
        </is>
      </c>
      <c r="C81" s="11" t="n"/>
      <c r="D81" s="21" t="n">
        <v>1</v>
      </c>
      <c r="E81" s="28" t="n">
        <v>4492</v>
      </c>
      <c r="F81" s="28" t="n">
        <v>4238</v>
      </c>
      <c r="G81" s="28" t="n">
        <v>2967</v>
      </c>
      <c r="H81" s="28" t="n">
        <v>2577</v>
      </c>
      <c r="I81" s="29" t="n">
        <v>3919</v>
      </c>
      <c r="J81" s="14" t="n"/>
      <c r="K81" s="29" t="n">
        <v>13701</v>
      </c>
      <c r="L81" s="28" t="n">
        <v>14326</v>
      </c>
    </row>
    <row r="82" ht="11.25" customHeight="1">
      <c r="B82" s="11" t="inlineStr">
        <is>
          <t>Total</t>
        </is>
      </c>
      <c r="C82" s="11" t="n"/>
      <c r="D82" s="21" t="n"/>
      <c r="E82" s="32" t="n">
        <v>4492</v>
      </c>
      <c r="F82" s="32" t="n">
        <v>4238</v>
      </c>
      <c r="G82" s="32" t="n">
        <v>2967</v>
      </c>
      <c r="H82" s="32" t="n">
        <v>2577</v>
      </c>
      <c r="I82" s="31" t="n">
        <v>3919</v>
      </c>
      <c r="J82" s="16" t="n"/>
      <c r="K82" s="31" t="n">
        <v>13701</v>
      </c>
      <c r="L82" s="30" t="n">
        <v>14326</v>
      </c>
    </row>
    <row r="83" ht="10.5" customHeight="1">
      <c r="B83" s="11" t="n"/>
      <c r="C83" s="11" t="n"/>
      <c r="D83" s="21" t="n"/>
      <c r="E83" s="11" t="n"/>
      <c r="F83" s="11" t="n"/>
      <c r="G83" s="11" t="n"/>
      <c r="H83" s="11" t="n"/>
      <c r="I83" s="12" t="n"/>
      <c r="J83" s="14" t="n"/>
      <c r="K83" s="19" t="n"/>
      <c r="L83" s="14" t="n"/>
    </row>
    <row r="84" ht="11.25" customHeight="1">
      <c r="A84" s="1" t="inlineStr">
        <is>
          <t>Production (kt)</t>
        </is>
      </c>
      <c r="B84" s="11" t="n"/>
      <c r="C84" s="11" t="n"/>
      <c r="D84" s="21" t="n"/>
      <c r="E84" s="11" t="n"/>
      <c r="F84" s="11" t="n"/>
      <c r="G84" s="11" t="n"/>
      <c r="H84" s="11" t="n"/>
      <c r="I84" s="12" t="n"/>
      <c r="J84" s="16" t="n"/>
      <c r="K84" s="19" t="n"/>
      <c r="L84" s="14" t="n"/>
    </row>
    <row r="85">
      <c r="B85" s="11" t="inlineStr">
        <is>
          <t>Cerrejón 9</t>
        </is>
      </c>
      <c r="C85" s="11" t="n"/>
      <c r="D85" s="17" t="n">
        <v>0.333</v>
      </c>
      <c r="E85" s="28" t="n">
        <v>1784</v>
      </c>
      <c r="F85" s="28" t="n">
        <v>2060</v>
      </c>
      <c r="G85" s="28" t="n">
        <v>2176</v>
      </c>
      <c r="H85" s="28" t="n">
        <v>0</v>
      </c>
      <c r="I85" s="29" t="n">
        <v>0</v>
      </c>
      <c r="J85" s="14" t="n"/>
      <c r="K85" s="29" t="n">
        <v>4236</v>
      </c>
      <c r="L85" s="28" t="n">
        <v>4964</v>
      </c>
    </row>
    <row r="86" ht="11.25" customHeight="1">
      <c r="B86" s="11" t="inlineStr">
        <is>
          <t>Total</t>
        </is>
      </c>
      <c r="C86" s="11" t="n"/>
      <c r="D86" s="21" t="n"/>
      <c r="E86" s="32" t="n">
        <v>1784</v>
      </c>
      <c r="F86" s="32" t="n">
        <v>2060</v>
      </c>
      <c r="G86" s="32" t="n">
        <v>2176</v>
      </c>
      <c r="H86" s="30" t="n">
        <v>0</v>
      </c>
      <c r="I86" s="31" t="n">
        <v>0</v>
      </c>
      <c r="J86" s="16" t="n"/>
      <c r="K86" s="31" t="n">
        <v>4236</v>
      </c>
      <c r="L86" s="30" t="n">
        <v>4964</v>
      </c>
    </row>
    <row r="87" ht="11.25" customHeight="1">
      <c r="B87" s="11" t="n"/>
      <c r="C87" s="11" t="n"/>
      <c r="D87" s="21" t="n"/>
      <c r="E87" s="11" t="n"/>
      <c r="F87" s="11" t="n"/>
      <c r="G87" s="11" t="n"/>
      <c r="H87" s="11" t="n"/>
      <c r="I87" s="12" t="n"/>
      <c r="J87" s="16" t="n"/>
      <c r="K87" s="12" t="n"/>
      <c r="L87" s="14" t="n"/>
    </row>
    <row r="88">
      <c r="A88" s="1" t="inlineStr">
        <is>
          <t>Other</t>
        </is>
      </c>
      <c r="B88" s="11" t="n"/>
      <c r="C88" s="11" t="n"/>
      <c r="D88" s="11" t="n"/>
      <c r="E88" s="11" t="n"/>
      <c r="F88" s="11" t="n"/>
      <c r="G88" s="11" t="n"/>
      <c r="H88" s="12" t="n"/>
      <c r="I88" s="12" t="n"/>
      <c r="J88" s="12" t="n"/>
      <c r="K88" s="12" t="n"/>
      <c r="L88" s="12" t="n"/>
    </row>
    <row r="89" ht="11.25" customHeight="1">
      <c r="A89" s="13" t="inlineStr">
        <is>
          <t>Nickel</t>
        </is>
      </c>
      <c r="B89" s="11" t="n"/>
      <c r="C89" s="11" t="n"/>
      <c r="D89" s="21" t="n"/>
      <c r="E89" s="11" t="n"/>
      <c r="F89" s="11" t="n"/>
      <c r="G89" s="11" t="n"/>
      <c r="H89" s="11" t="n"/>
      <c r="I89" s="12" t="n"/>
      <c r="J89" s="16" t="n"/>
      <c r="K89" s="19" t="n"/>
      <c r="L89" s="14" t="n"/>
    </row>
    <row r="90" ht="11.25" customHeight="1">
      <c r="A90" s="1" t="inlineStr">
        <is>
          <t>Saleable production (kt)</t>
        </is>
      </c>
      <c r="B90" s="11" t="n"/>
      <c r="C90" s="11" t="n"/>
      <c r="D90" s="21" t="n"/>
      <c r="E90" s="11" t="n"/>
      <c r="F90" s="11" t="n"/>
      <c r="G90" s="11" t="n"/>
      <c r="H90" s="11" t="n"/>
      <c r="I90" s="12" t="n"/>
      <c r="J90" s="16" t="n"/>
      <c r="K90" s="19" t="n"/>
      <c r="L90" s="14" t="n"/>
    </row>
    <row r="91" ht="11.25" customHeight="1">
      <c r="B91" s="11" t="inlineStr">
        <is>
          <t>Nickel West</t>
        </is>
      </c>
      <c r="C91" s="11" t="n"/>
      <c r="D91" s="21" t="n">
        <v>1</v>
      </c>
      <c r="E91" s="18" t="n">
        <v>22.4</v>
      </c>
      <c r="F91" s="18" t="n">
        <v>17.8</v>
      </c>
      <c r="G91" s="18" t="n">
        <v>21.5</v>
      </c>
      <c r="H91" s="18" t="n">
        <v>18.7</v>
      </c>
      <c r="I91" s="19" t="n">
        <v>18.8</v>
      </c>
      <c r="J91" s="20" t="n"/>
      <c r="K91" s="19" t="n">
        <v>76.8</v>
      </c>
      <c r="L91" s="18" t="n">
        <v>89</v>
      </c>
    </row>
    <row r="92" ht="11.25" customHeight="1">
      <c r="B92" s="11" t="inlineStr">
        <is>
          <t>Total</t>
        </is>
      </c>
      <c r="C92" s="11" t="n"/>
      <c r="D92" s="21" t="n"/>
      <c r="E92" s="22" t="n">
        <v>22.4</v>
      </c>
      <c r="F92" s="22" t="n">
        <v>17.8</v>
      </c>
      <c r="G92" s="22" t="n">
        <v>21.5</v>
      </c>
      <c r="H92" s="22" t="n">
        <v>18.7</v>
      </c>
      <c r="I92" s="23" t="n">
        <v>18.8</v>
      </c>
      <c r="J92" s="16" t="n"/>
      <c r="K92" s="23" t="n">
        <v>76.8</v>
      </c>
      <c r="L92" s="22" t="n">
        <v>89</v>
      </c>
    </row>
    <row r="93" ht="10.5" customHeight="1">
      <c r="B93" s="11" t="n"/>
      <c r="C93" s="11" t="n"/>
      <c r="D93" s="21" t="n"/>
      <c r="E93" s="11" t="n"/>
      <c r="F93" s="11" t="n"/>
      <c r="G93" s="11" t="n"/>
      <c r="H93" s="11" t="n"/>
      <c r="I93" s="12" t="n"/>
      <c r="J93" s="16" t="n"/>
      <c r="K93" s="19" t="n"/>
      <c r="L93" s="14" t="n"/>
    </row>
    <row r="94" ht="11.25" customHeight="1">
      <c r="A94" s="13" t="inlineStr">
        <is>
          <t>Cobalt</t>
        </is>
      </c>
      <c r="B94" s="11" t="n"/>
      <c r="C94" s="11" t="n"/>
      <c r="D94" s="21" t="n"/>
      <c r="E94" s="11" t="n"/>
      <c r="F94" s="11" t="n"/>
      <c r="G94" s="11" t="n"/>
      <c r="H94" s="11" t="n"/>
      <c r="I94" s="12" t="n"/>
      <c r="J94" s="16" t="n"/>
      <c r="K94" s="19" t="n"/>
      <c r="L94" s="14" t="n"/>
    </row>
    <row r="95" ht="11.25" customHeight="1">
      <c r="A95" s="1" t="inlineStr">
        <is>
          <t>Saleable production (t)</t>
        </is>
      </c>
      <c r="B95" s="11" t="n"/>
      <c r="C95" s="11" t="n"/>
      <c r="D95" s="21" t="n"/>
      <c r="E95" s="11" t="n"/>
      <c r="F95" s="11" t="n"/>
      <c r="G95" s="11" t="n"/>
      <c r="H95" s="11" t="n"/>
      <c r="I95" s="12" t="n"/>
      <c r="J95" s="16" t="n"/>
      <c r="K95" s="19" t="n"/>
      <c r="L95" s="14" t="n"/>
    </row>
    <row r="96" ht="11.25" customHeight="1">
      <c r="B96" s="11" t="inlineStr">
        <is>
          <t>Nickel West</t>
        </is>
      </c>
      <c r="C96" s="11" t="n"/>
      <c r="D96" s="21" t="n">
        <v>1</v>
      </c>
      <c r="E96" s="28" t="n">
        <v>241</v>
      </c>
      <c r="F96" s="28" t="n">
        <v>177</v>
      </c>
      <c r="G96" s="28" t="n">
        <v>220</v>
      </c>
      <c r="H96" s="28" t="n">
        <v>125</v>
      </c>
      <c r="I96" s="29" t="n">
        <v>110</v>
      </c>
      <c r="J96" s="28" t="n"/>
      <c r="K96" s="29" t="n">
        <v>632</v>
      </c>
      <c r="L96" s="28" t="n">
        <v>988</v>
      </c>
    </row>
    <row r="97" ht="11.25" customHeight="1">
      <c r="B97" s="11" t="inlineStr">
        <is>
          <t>Total</t>
        </is>
      </c>
      <c r="C97" s="11" t="n"/>
      <c r="D97" s="21" t="n"/>
      <c r="E97" s="30" t="n">
        <v>241</v>
      </c>
      <c r="F97" s="30" t="n">
        <v>177</v>
      </c>
      <c r="G97" s="30" t="n">
        <v>220</v>
      </c>
      <c r="H97" s="30" t="n">
        <v>125</v>
      </c>
      <c r="I97" s="31" t="n">
        <v>110</v>
      </c>
      <c r="J97" s="29" t="n"/>
      <c r="K97" s="31" t="n">
        <v>632</v>
      </c>
      <c r="L97" s="30" t="n">
        <v>988</v>
      </c>
    </row>
    <row r="98" ht="11.25" customHeight="1">
      <c r="B98" s="11" t="n"/>
      <c r="C98" s="1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</row>
    <row r="99">
      <c r="A99" s="1" t="inlineStr">
        <is>
          <t>Discontinued operations</t>
        </is>
      </c>
      <c r="B99" s="11" t="n"/>
      <c r="C99" s="11" t="n"/>
      <c r="D99" s="11" t="n"/>
      <c r="E99" s="11" t="n"/>
      <c r="F99" s="11" t="n"/>
      <c r="G99" s="11" t="n"/>
      <c r="H99" s="12" t="n"/>
      <c r="I99" s="12" t="n"/>
      <c r="J99" s="12" t="n"/>
      <c r="K99" s="12" t="n"/>
      <c r="L99" s="12" t="n"/>
    </row>
    <row r="100">
      <c r="A100" s="13" t="inlineStr">
        <is>
          <t>Petroleum 10 11</t>
        </is>
      </c>
      <c r="B100" s="11" t="n"/>
      <c r="C100" s="11" t="n"/>
      <c r="D100" s="21" t="n"/>
      <c r="E100" s="11" t="n"/>
      <c r="F100" s="11" t="n"/>
      <c r="G100" s="11" t="n"/>
      <c r="H100" s="11" t="n"/>
      <c r="I100" s="12" t="n"/>
      <c r="J100" s="16" t="n"/>
      <c r="K100" s="19" t="n"/>
      <c r="L100" s="14" t="n"/>
    </row>
    <row r="101" ht="11.25" customHeight="1">
      <c r="A101" s="1" t="inlineStr">
        <is>
          <t>Production</t>
        </is>
      </c>
      <c r="B101" s="11" t="n"/>
      <c r="C101" s="11" t="n"/>
      <c r="D101" s="21" t="n"/>
      <c r="E101" s="11" t="n"/>
      <c r="F101" s="11" t="n"/>
      <c r="G101" s="11" t="n"/>
      <c r="H101" s="11" t="n"/>
      <c r="I101" s="12" t="n"/>
      <c r="J101" s="11" t="n"/>
      <c r="K101" s="12" t="n"/>
      <c r="L101" s="11" t="n"/>
    </row>
    <row r="102" ht="11.25" customHeight="1">
      <c r="B102" s="11" t="inlineStr">
        <is>
          <t>Crude oil, condensate and NGL (Mboe)</t>
        </is>
      </c>
      <c r="C102" s="11" t="n"/>
      <c r="D102" s="21" t="n"/>
      <c r="E102" s="28" t="n">
        <v>12205</v>
      </c>
      <c r="F102" s="28" t="n">
        <v>12751</v>
      </c>
      <c r="G102" s="28" t="n">
        <v>12345</v>
      </c>
      <c r="H102" s="38" t="n">
        <v>11367</v>
      </c>
      <c r="I102" s="29" t="n">
        <v>7057</v>
      </c>
      <c r="J102" s="14" t="n"/>
      <c r="K102" s="29" t="n">
        <v>43520</v>
      </c>
      <c r="L102" s="28" t="n">
        <v>46042</v>
      </c>
    </row>
    <row r="103" ht="11.25" customHeight="1">
      <c r="B103" s="11" t="inlineStr">
        <is>
          <t>Natural gas (bcf)</t>
        </is>
      </c>
      <c r="C103" s="11" t="n"/>
      <c r="D103" s="21" t="n"/>
      <c r="E103" s="18" t="n">
        <v>88.59999999999999</v>
      </c>
      <c r="F103" s="18" t="n">
        <v>88.40000000000001</v>
      </c>
      <c r="G103" s="18" t="n">
        <v>80.09999999999999</v>
      </c>
      <c r="H103" s="18" t="n">
        <v>75.90000000000001</v>
      </c>
      <c r="I103" s="19" t="n">
        <v>58.8</v>
      </c>
      <c r="J103" s="18" t="n"/>
      <c r="K103" s="19" t="n">
        <v>303.2</v>
      </c>
      <c r="L103" s="18" t="n">
        <v>340.6</v>
      </c>
    </row>
    <row r="104" ht="11.25" customHeight="1">
      <c r="B104" s="11" t="inlineStr">
        <is>
          <t>Total (Mboe)</t>
        </is>
      </c>
      <c r="C104" s="11" t="n"/>
      <c r="D104" s="21" t="n"/>
      <c r="E104" s="40" t="n">
        <v>26972</v>
      </c>
      <c r="F104" s="40" t="n">
        <v>27484</v>
      </c>
      <c r="G104" s="40" t="n">
        <v>25695</v>
      </c>
      <c r="H104" s="41" t="n">
        <v>24017</v>
      </c>
      <c r="I104" s="42" t="n">
        <v>16857</v>
      </c>
      <c r="J104" s="16" t="n"/>
      <c r="K104" s="42" t="n">
        <v>94053</v>
      </c>
      <c r="L104" s="40" t="n">
        <v>102809</v>
      </c>
    </row>
    <row r="105">
      <c r="A105" s="43" t="n"/>
      <c r="B105" s="44" t="n"/>
      <c r="C105" s="45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</row>
    <row r="106">
      <c r="B106" s="47" t="inlineStr">
        <is>
          <t>1</t>
        </is>
      </c>
      <c r="C106" s="11" t="inlineStr">
        <is>
          <t>Metal production is reported on the basis of payable metal.</t>
        </is>
      </c>
      <c r="D106" s="21" t="n"/>
      <c r="E106" s="11" t="n"/>
      <c r="F106" s="11" t="n"/>
      <c r="G106" s="11" t="n"/>
      <c r="H106" s="11" t="n"/>
      <c r="I106" s="11" t="n"/>
      <c r="J106" s="20" t="n"/>
      <c r="K106" s="18" t="n"/>
      <c r="L106" s="14" t="n"/>
    </row>
    <row r="107" ht="11.25" customHeight="1">
      <c r="B107" s="47" t="inlineStr">
        <is>
          <t>2</t>
        </is>
      </c>
      <c r="C107" s="11" t="inlineStr">
        <is>
          <t>Shown on a 100% basis. BHP interest in saleable production is 57.5%.</t>
        </is>
      </c>
      <c r="D107" s="21" t="n"/>
      <c r="E107" s="11" t="n"/>
      <c r="F107" s="11" t="n"/>
      <c r="G107" s="11" t="n"/>
      <c r="H107" s="11" t="n"/>
      <c r="I107" s="48" t="n"/>
      <c r="J107" s="20" t="n"/>
      <c r="K107" s="18" t="n"/>
      <c r="L107" s="14" t="n"/>
    </row>
    <row r="108" ht="11.25" customHeight="1">
      <c r="B108" s="47" t="n">
        <v>3</v>
      </c>
      <c r="C108" s="11" t="inlineStr">
        <is>
          <t>Includes Cerro Colorado and Spence.</t>
        </is>
      </c>
      <c r="D108" s="49" t="n"/>
      <c r="I108" s="28" t="n"/>
      <c r="J108" s="20" t="n"/>
      <c r="K108" s="28" t="n"/>
    </row>
    <row r="109" ht="11.25" customHeight="1">
      <c r="B109" s="47" t="n">
        <v>4</v>
      </c>
      <c r="C109" s="11" t="inlineStr">
        <is>
          <t>Iron ore production is reported on a wet tonnes basis.</t>
        </is>
      </c>
      <c r="D109" s="49" t="n"/>
      <c r="J109" s="20" t="n"/>
    </row>
    <row r="110" ht="11.25" customHeight="1">
      <c r="B110" s="47" t="n">
        <v>5</v>
      </c>
      <c r="C110" s="11" t="inlineStr">
        <is>
          <t>Shown on a 100% basis. BHP interest in saleable production is 85%.</t>
        </is>
      </c>
      <c r="D110" s="21" t="n"/>
      <c r="J110" s="20" t="n"/>
    </row>
    <row r="111" ht="11.25" customHeight="1">
      <c r="B111" s="47" t="n">
        <v>6</v>
      </c>
      <c r="C111" s="11" t="inlineStr">
        <is>
          <t>Metallurgical coal production is reported on the basis of saleable product. Production figures may include some thermal coal.</t>
        </is>
      </c>
      <c r="D111" s="21" t="n"/>
      <c r="J111" s="20" t="n"/>
    </row>
    <row r="112" ht="11.25" customHeight="1">
      <c r="B112" s="47" t="n">
        <v>7</v>
      </c>
      <c r="C112" s="11" t="inlineStr">
        <is>
          <t>Shown on a 100% basis. BHP interest in saleable production is 80%.</t>
        </is>
      </c>
      <c r="D112" s="21" t="n"/>
      <c r="J112" s="20" t="n"/>
    </row>
    <row r="113" ht="11.25" customHeight="1">
      <c r="B113" s="47" t="n">
        <v>8</v>
      </c>
      <c r="C113" s="11" t="inlineStr">
        <is>
          <t>BHP completed the sale of its 80 per cent interest in BHP Mitsui Coal (BMC) on 3 May 2022. Production reported until 30 April 2022.</t>
        </is>
      </c>
      <c r="D113" s="21" t="n"/>
      <c r="J113" s="20" t="n"/>
    </row>
    <row r="114" ht="11.25" customHeight="1">
      <c r="B114" s="47" t="n">
        <v>9</v>
      </c>
      <c r="C114" s="11" t="inlineStr">
        <is>
          <t>BHP completed the sale of its 33.3 per cent interest in Cerrejón on 11 January 2022. Production reported until 31 December 2021.</t>
        </is>
      </c>
      <c r="D114" s="21" t="n"/>
      <c r="J114" s="20" t="n"/>
    </row>
    <row r="115" ht="11.25" customHeight="1">
      <c r="B115" s="47" t="n">
        <v>10</v>
      </c>
      <c r="C115" s="11" t="inlineStr">
        <is>
          <t>The merger of BHP's oil and gas portfolio with Woodside was completed on 1 June 2022. Production reported until 31 May 2022.</t>
        </is>
      </c>
      <c r="D115" s="21" t="n"/>
      <c r="J115" s="20" t="n"/>
    </row>
    <row r="116" ht="11.25" customHeight="1">
      <c r="B116" s="47" t="n">
        <v>11</v>
      </c>
      <c r="C116" s="11" t="inlineStr">
        <is>
          <t>LPG and ethane are reported as natural gas liquids (NGL). Product-specific conversions are made and NGL is reported in barrels of oil</t>
        </is>
      </c>
      <c r="D116" s="21" t="n"/>
      <c r="J116" s="20" t="n"/>
    </row>
    <row r="117" ht="11.25" customHeight="1">
      <c r="B117" s="47" t="n"/>
      <c r="C117" s="11" t="inlineStr">
        <is>
          <t>equivalent (boe). Total boe conversions are based on 6 bcf of natural gas equals 1,000 Mboe.</t>
        </is>
      </c>
      <c r="D117" s="21" t="n"/>
      <c r="J117" s="20" t="n"/>
    </row>
    <row r="118" ht="11.25" customHeight="1">
      <c r="B118" s="47" t="n"/>
      <c r="D118" s="21" t="n"/>
      <c r="J118" s="20" t="n"/>
    </row>
    <row r="119" ht="11.25" customHeight="1">
      <c r="B119" t="inlineStr">
        <is>
          <t>Throughout this report figures in italics indicate that this figure has been adjusted since it was previously reported.</t>
        </is>
      </c>
    </row>
  </sheetData>
  <mergeCells count="2">
    <mergeCell ref="E3:I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2026-05-04T14:17:29Z</dcterms:created>
  <dcterms:modified xsi:type="dcterms:W3CDTF">2026-05-04T14:17:33Z</dcterms:modified>
</cp:coreProperties>
</file>