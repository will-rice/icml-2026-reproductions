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\(#,##0\);&quot;-&quot;"/>
    <numFmt numFmtId="165" formatCode="#.##0,;\(#.##0,\);&quot;-&quot;"/>
    <numFmt numFmtId="166" formatCode="#.000,"/>
    <numFmt numFmtId="167" formatCode="0.0%"/>
    <numFmt numFmtId="168" formatCode="\+#.##0,;\(#.##0,\);&quot;-&quot;"/>
    <numFmt numFmtId="169" formatCode="0\.0%"/>
  </numFmts>
  <fonts count="8">
    <font>
      <name val="Calibri"/>
      <family val="2"/>
      <color theme="1"/>
      <sz val="11"/>
      <scheme val="minor"/>
    </font>
    <font>
      <b val="1"/>
      <color rgb="004472C5"/>
    </font>
    <font>
      <b val="1"/>
      <i val="1"/>
      <color rgb="00A5A5A5"/>
      <u val="single"/>
    </font>
    <font>
      <b val="1"/>
      <color rgb="00FFFFFF"/>
    </font>
    <font>
      <b val="1"/>
      <color rgb="005C5C5C"/>
    </font>
    <font>
      <color rgb="005C5C5C"/>
    </font>
    <font>
      <color rgb="00FFFFFF"/>
    </font>
    <font>
      <i val="1"/>
      <color rgb="005C5C5C"/>
    </font>
  </fonts>
  <fills count="6">
    <fill>
      <patternFill/>
    </fill>
    <fill>
      <patternFill patternType="gray125"/>
    </fill>
    <fill>
      <patternFill patternType="solid">
        <fgColor rgb="00EA7D10"/>
        <bgColor rgb="00EA7D10"/>
      </patternFill>
    </fill>
    <fill>
      <patternFill patternType="solid">
        <fgColor rgb="000093D5"/>
        <bgColor rgb="000093D5"/>
      </patternFill>
    </fill>
    <fill>
      <patternFill patternType="solid">
        <fgColor rgb="00FFFFFF"/>
        <bgColor rgb="00FFFFFF"/>
      </patternFill>
    </fill>
    <fill>
      <patternFill patternType="solid">
        <fgColor rgb="00ED7D32"/>
        <bgColor rgb="00ED7D32"/>
      </patternFill>
    </fill>
  </fills>
  <borders count="18">
    <border>
      <left/>
      <right/>
      <top/>
      <bottom/>
      <diagonal/>
    </border>
    <border>
      <left style="thin">
        <color rgb="00ED7D32"/>
      </left>
      <right style="thin">
        <color rgb="00ED7D32"/>
      </right>
      <top style="thin">
        <color rgb="00ED7D32"/>
      </top>
      <bottom style="thin">
        <color rgb="00ED7D32"/>
      </bottom>
    </border>
    <border>
      <left style="thin">
        <color rgb="00ED7D32"/>
      </left>
      <top style="thin">
        <color rgb="00ED7D32"/>
      </top>
    </border>
    <border>
      <top style="thin">
        <color rgb="00ED7D32"/>
      </top>
    </border>
    <border>
      <right style="thin">
        <color rgb="00ED7D32"/>
      </right>
      <top style="thin">
        <color rgb="00ED7D32"/>
      </top>
    </border>
    <border>
      <left style="thin">
        <color rgb="00ED7D32"/>
      </left>
      <top style="thin">
        <color rgb="00ED7D32"/>
      </top>
      <bottom style="thin">
        <color rgb="00ED7D32"/>
      </bottom>
    </border>
    <border>
      <top style="thin">
        <color rgb="00ED7D32"/>
      </top>
      <bottom style="thin">
        <color rgb="00ED7D32"/>
      </bottom>
    </border>
    <border>
      <right style="thin">
        <color rgb="00ED7D32"/>
      </right>
      <top style="thin">
        <color rgb="00ED7D32"/>
      </top>
      <bottom style="thin">
        <color rgb="00ED7D32"/>
      </bottom>
    </border>
    <border>
      <left style="thin">
        <color rgb="00ED7D32"/>
      </left>
    </border>
    <border>
      <right style="thin">
        <color rgb="00ED7D32"/>
      </right>
    </border>
    <border>
      <left style="thin">
        <color rgb="00ED7D32"/>
      </left>
      <bottom style="thin">
        <color rgb="00ED7D32"/>
      </bottom>
    </border>
    <border>
      <bottom style="thin">
        <color rgb="00ED7D32"/>
      </bottom>
    </border>
    <border>
      <right style="thin">
        <color rgb="00ED7D32"/>
      </right>
      <bottom style="thin">
        <color rgb="00ED7D32"/>
      </bottom>
    </border>
    <border>
      <left/>
      <right/>
      <top style="thin">
        <color rgb="00ED7D32"/>
      </top>
      <bottom/>
      <diagonal/>
    </border>
    <border>
      <left/>
      <right style="thin">
        <color rgb="00ED7D32"/>
      </right>
      <top style="thin">
        <color rgb="00ED7D32"/>
      </top>
      <bottom/>
      <diagonal/>
    </border>
    <border>
      <left/>
      <right/>
      <top style="thin">
        <color rgb="00ED7D32"/>
      </top>
      <bottom style="thin">
        <color rgb="00ED7D32"/>
      </bottom>
      <diagonal/>
    </border>
    <border>
      <left/>
      <right style="thin">
        <color rgb="00ED7D32"/>
      </right>
      <top style="thin">
        <color rgb="00ED7D32"/>
      </top>
      <bottom style="thin">
        <color rgb="00ED7D32"/>
      </bottom>
      <diagonal/>
    </border>
    <border>
      <left style="thin">
        <color rgb="00ED7D32"/>
      </left>
      <right style="thin">
        <color rgb="00ED7D32"/>
      </right>
      <top style="thin">
        <color rgb="00ED7D32"/>
      </top>
    </border>
  </borders>
  <cellStyleXfs count="1">
    <xf numFmtId="0" fontId="0" fillId="0" borderId="0"/>
  </cellStyleXfs>
  <cellXfs count="84">
    <xf numFmtId="0" fontId="0" fillId="0" borderId="0" pivotButton="0" quotePrefix="0" xfId="0"/>
    <xf numFmtId="164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1" fontId="3" fillId="2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0" borderId="0" applyAlignment="1" pivotButton="0" quotePrefix="0" xfId="0">
      <alignment vertical="center" wrapText="1"/>
    </xf>
    <xf numFmtId="3" fontId="4" fillId="0" borderId="2" applyAlignment="1" pivotButton="0" quotePrefix="0" xfId="0">
      <alignment horizontal="center" vertical="center" wrapText="1"/>
    </xf>
    <xf numFmtId="3" fontId="4" fillId="0" borderId="3" applyAlignment="1" pivotButton="0" quotePrefix="0" xfId="0">
      <alignment horizontal="center" vertical="center" wrapText="1"/>
    </xf>
    <xf numFmtId="3" fontId="3" fillId="2" borderId="4" applyAlignment="1" pivotButton="0" quotePrefix="0" xfId="0">
      <alignment horizontal="center" vertical="center" wrapText="1"/>
    </xf>
    <xf numFmtId="3" fontId="4" fillId="0" borderId="5" applyAlignment="1" pivotButton="0" quotePrefix="0" xfId="0">
      <alignment horizontal="center" vertical="center" wrapText="1"/>
    </xf>
    <xf numFmtId="3" fontId="4" fillId="0" borderId="6" applyAlignment="1" pivotButton="0" quotePrefix="0" xfId="0">
      <alignment horizontal="center" vertical="center" wrapText="1"/>
    </xf>
    <xf numFmtId="3" fontId="3" fillId="2" borderId="7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center" wrapText="1"/>
    </xf>
    <xf numFmtId="164" fontId="4" fillId="0" borderId="8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center" vertical="center" wrapText="1"/>
    </xf>
    <xf numFmtId="165" fontId="3" fillId="3" borderId="9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0">
      <alignment horizontal="center" vertical="center" wrapText="1"/>
    </xf>
    <xf numFmtId="3" fontId="3" fillId="3" borderId="9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3" fontId="0" fillId="0" borderId="0" applyAlignment="1" pivotButton="0" quotePrefix="0" xfId="0">
      <alignment vertical="center" wrapText="1"/>
    </xf>
    <xf numFmtId="3" fontId="5" fillId="0" borderId="8" applyAlignment="1" pivotButton="0" quotePrefix="0" xfId="0">
      <alignment horizontal="center" vertical="center" wrapText="1"/>
    </xf>
    <xf numFmtId="3" fontId="5" fillId="0" borderId="0" applyAlignment="1" pivotButton="0" quotePrefix="0" xfId="0">
      <alignment horizontal="center" vertical="center" wrapText="1"/>
    </xf>
    <xf numFmtId="165" fontId="6" fillId="3" borderId="9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 vertical="center" wrapText="1"/>
    </xf>
    <xf numFmtId="164" fontId="6" fillId="3" borderId="9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vertical="center" wrapText="1"/>
    </xf>
    <xf numFmtId="0" fontId="4" fillId="0" borderId="8" applyAlignment="1" pivotButton="0" quotePrefix="0" xfId="0">
      <alignment horizontal="center" vertical="center" wrapText="1"/>
    </xf>
    <xf numFmtId="3" fontId="6" fillId="3" borderId="9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167" fontId="0" fillId="0" borderId="0" applyAlignment="1" pivotButton="0" quotePrefix="0" xfId="0">
      <alignment vertical="center" wrapText="1"/>
    </xf>
    <xf numFmtId="167" fontId="5" fillId="0" borderId="8" applyAlignment="1" pivotButton="0" quotePrefix="0" xfId="0">
      <alignment horizontal="center" vertical="center" wrapText="1"/>
    </xf>
    <xf numFmtId="167" fontId="5" fillId="0" borderId="0" applyAlignment="1" pivotButton="0" quotePrefix="0" xfId="0">
      <alignment horizontal="center" vertical="center" wrapText="1"/>
    </xf>
    <xf numFmtId="167" fontId="6" fillId="3" borderId="9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0">
      <alignment vertical="center" wrapText="1"/>
    </xf>
    <xf numFmtId="164" fontId="4" fillId="0" borderId="10" applyAlignment="1" pivotButton="0" quotePrefix="0" xfId="0">
      <alignment horizontal="center" vertical="center" wrapText="1"/>
    </xf>
    <xf numFmtId="164" fontId="4" fillId="0" borderId="11" applyAlignment="1" pivotButton="0" quotePrefix="0" xfId="0">
      <alignment horizontal="center" vertical="center" wrapText="1"/>
    </xf>
    <xf numFmtId="164" fontId="3" fillId="3" borderId="12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3" fontId="4" fillId="0" borderId="11" applyAlignment="1" pivotButton="0" quotePrefix="0" xfId="0">
      <alignment horizontal="center" vertical="center" wrapText="1"/>
    </xf>
    <xf numFmtId="3" fontId="3" fillId="3" borderId="12" applyAlignment="1" pivotButton="0" quotePrefix="0" xfId="0">
      <alignment horizontal="center" vertical="center" wrapText="1"/>
    </xf>
    <xf numFmtId="164" fontId="4" fillId="0" borderId="5" applyAlignment="1" pivotButton="0" quotePrefix="0" xfId="0">
      <alignment horizontal="center" vertical="center" wrapText="1"/>
    </xf>
    <xf numFmtId="164" fontId="4" fillId="0" borderId="6" applyAlignment="1" pivotButton="0" quotePrefix="0" xfId="0">
      <alignment horizontal="center" vertical="center" wrapText="1"/>
    </xf>
    <xf numFmtId="164" fontId="3" fillId="3" borderId="7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168" fontId="3" fillId="3" borderId="7" applyAlignment="1" pivotButton="0" quotePrefix="0" xfId="0">
      <alignment horizontal="center" vertical="center" wrapText="1"/>
    </xf>
    <xf numFmtId="169" fontId="0" fillId="0" borderId="0" applyAlignment="1" pivotButton="0" quotePrefix="0" xfId="0">
      <alignment horizontal="center" vertical="center" wrapText="1"/>
    </xf>
    <xf numFmtId="3" fontId="4" fillId="4" borderId="0" applyAlignment="1" pivotButton="0" quotePrefix="0" xfId="0">
      <alignment horizontal="center" vertical="center" wrapText="1"/>
    </xf>
    <xf numFmtId="164" fontId="5" fillId="0" borderId="8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3" fontId="5" fillId="4" borderId="0" applyAlignment="1" pivotButton="0" quotePrefix="0" xfId="0">
      <alignment horizontal="center" vertical="center" wrapText="1"/>
    </xf>
    <xf numFmtId="164" fontId="5" fillId="0" borderId="10" applyAlignment="1" pivotButton="0" quotePrefix="0" xfId="0">
      <alignment horizontal="center" vertical="center" wrapText="1"/>
    </xf>
    <xf numFmtId="164" fontId="5" fillId="0" borderId="11" applyAlignment="1" pivotButton="0" quotePrefix="0" xfId="0">
      <alignment horizontal="center" vertical="center" wrapText="1"/>
    </xf>
    <xf numFmtId="164" fontId="6" fillId="3" borderId="12" applyAlignment="1" pivotButton="0" quotePrefix="0" xfId="0">
      <alignment horizontal="center" vertical="center" wrapText="1"/>
    </xf>
    <xf numFmtId="3" fontId="5" fillId="0" borderId="11" applyAlignment="1" pivotButton="0" quotePrefix="0" xfId="0">
      <alignment horizontal="center" vertical="center" wrapText="1"/>
    </xf>
    <xf numFmtId="3" fontId="5" fillId="4" borderId="11" applyAlignment="1" pivotButton="0" quotePrefix="0" xfId="0">
      <alignment horizontal="center" vertical="center" wrapText="1"/>
    </xf>
    <xf numFmtId="3" fontId="6" fillId="3" borderId="12" applyAlignment="1" pivotButton="0" quotePrefix="0" xfId="0">
      <alignment horizontal="center" vertical="center" wrapText="1"/>
    </xf>
    <xf numFmtId="0" fontId="3" fillId="5" borderId="17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3" fillId="5" borderId="0" applyAlignment="1" pivotButton="0" quotePrefix="0" xfId="0">
      <alignment horizontal="center" vertical="center" wrapText="1"/>
    </xf>
    <xf numFmtId="3" fontId="4" fillId="0" borderId="7" applyAlignment="1" pivotButton="0" quotePrefix="0" xfId="0">
      <alignment horizontal="center" vertical="center" wrapText="1"/>
    </xf>
    <xf numFmtId="3" fontId="4" fillId="0" borderId="4" applyAlignment="1" pivotButton="0" quotePrefix="0" xfId="0">
      <alignment horizontal="center" vertical="center" wrapText="1"/>
    </xf>
    <xf numFmtId="165" fontId="4" fillId="0" borderId="8" applyAlignment="1" pivotButton="0" quotePrefix="0" xfId="0">
      <alignment horizontal="center" vertical="center" wrapText="1"/>
    </xf>
    <xf numFmtId="165" fontId="4" fillId="0" borderId="9" applyAlignment="1" pivotButton="0" quotePrefix="0" xfId="0">
      <alignment horizontal="center" vertical="center" wrapText="1"/>
    </xf>
    <xf numFmtId="3" fontId="4" fillId="0" borderId="9" applyAlignment="1" pivotButton="0" quotePrefix="0" xfId="0">
      <alignment horizontal="center" vertical="center" wrapText="1"/>
    </xf>
    <xf numFmtId="165" fontId="5" fillId="0" borderId="8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165" fontId="5" fillId="0" borderId="9" applyAlignment="1" pivotButton="0" quotePrefix="0" xfId="0">
      <alignment horizontal="center" vertical="center" wrapText="1"/>
    </xf>
    <xf numFmtId="3" fontId="5" fillId="0" borderId="9" applyAlignment="1" pivotButton="0" quotePrefix="0" xfId="0">
      <alignment horizontal="center" vertical="center" wrapText="1"/>
    </xf>
    <xf numFmtId="3" fontId="5" fillId="0" borderId="10" applyAlignment="1" pivotButton="0" quotePrefix="0" xfId="0">
      <alignment horizontal="center" vertical="center" wrapText="1"/>
    </xf>
    <xf numFmtId="3" fontId="5" fillId="0" borderId="12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8.75"/>
  <cols>
    <col width="66.85546875" customWidth="1" min="1" max="1"/>
    <col width="1.7109375" customWidth="1" min="2" max="2"/>
    <col width="12.5703125" customWidth="1" min="3" max="3"/>
    <col width="1.7109375" customWidth="1" min="8" max="8"/>
    <col width="12.5703125" customWidth="1" min="9" max="9"/>
    <col width="1.7109375" customWidth="1" min="14" max="14"/>
    <col width="12.5703125" customWidth="1" min="15" max="15"/>
    <col width="1.7109375" customWidth="1" min="20" max="20"/>
    <col width="12.5703125" customWidth="1" min="21" max="21"/>
  </cols>
  <sheetData>
    <row r="1">
      <c r="A1" s="1" t="inlineStr">
        <is>
          <t>Bouygues Immobilier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n"/>
      <c r="B2" s="2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 ht="19.5" customHeight="1">
      <c r="A3" s="4" t="inlineStr">
        <is>
          <t>Key Figures</t>
        </is>
      </c>
      <c r="B3" s="2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19.5" customHeight="1">
      <c r="A4" s="2" t="n"/>
      <c r="B4" s="2" t="n"/>
      <c r="C4" s="5" t="n">
        <v>2019</v>
      </c>
      <c r="D4" s="6" t="n"/>
      <c r="E4" s="6" t="n"/>
      <c r="F4" s="6" t="n"/>
      <c r="G4" s="7" t="n"/>
      <c r="H4" s="3" t="n"/>
      <c r="I4" s="5" t="n">
        <v>2020</v>
      </c>
      <c r="J4" s="6" t="n"/>
      <c r="K4" s="6" t="n"/>
      <c r="L4" s="6" t="n"/>
      <c r="M4" s="7" t="n"/>
      <c r="N4" s="3" t="n"/>
      <c r="O4" s="5" t="n">
        <v>2021</v>
      </c>
      <c r="P4" s="6" t="n"/>
      <c r="Q4" s="6" t="n"/>
      <c r="R4" s="6" t="n"/>
      <c r="S4" s="7" t="n"/>
      <c r="T4" s="3" t="n"/>
      <c r="U4" s="5" t="n">
        <v>2022</v>
      </c>
      <c r="V4" s="6" t="n"/>
      <c r="W4" s="6" t="n"/>
      <c r="X4" s="6" t="n"/>
      <c r="Y4" s="7" t="n"/>
    </row>
    <row r="5" ht="19.5" customHeight="1">
      <c r="A5" s="8" t="inlineStr">
        <is>
          <t>€m</t>
        </is>
      </c>
      <c r="B5" s="2" t="n"/>
      <c r="C5" s="9" t="inlineStr">
        <is>
          <t>Q1</t>
        </is>
      </c>
      <c r="D5" s="10" t="inlineStr">
        <is>
          <t>Q2</t>
        </is>
      </c>
      <c r="E5" s="10" t="inlineStr">
        <is>
          <t>Q3</t>
        </is>
      </c>
      <c r="F5" s="10" t="inlineStr">
        <is>
          <t>Q4</t>
        </is>
      </c>
      <c r="G5" s="11" t="inlineStr">
        <is>
          <t>FY</t>
        </is>
      </c>
      <c r="H5" s="3" t="n"/>
      <c r="I5" s="12" t="inlineStr">
        <is>
          <t>Q1</t>
        </is>
      </c>
      <c r="J5" s="13" t="inlineStr">
        <is>
          <t>Q2</t>
        </is>
      </c>
      <c r="K5" s="13" t="inlineStr">
        <is>
          <t>Q3</t>
        </is>
      </c>
      <c r="L5" s="13" t="inlineStr">
        <is>
          <t>Q4</t>
        </is>
      </c>
      <c r="M5" s="14" t="inlineStr">
        <is>
          <t>FY</t>
        </is>
      </c>
      <c r="N5" s="3" t="n"/>
      <c r="O5" s="12" t="inlineStr">
        <is>
          <t>Q1</t>
        </is>
      </c>
      <c r="P5" s="13" t="inlineStr">
        <is>
          <t>Q2</t>
        </is>
      </c>
      <c r="Q5" s="13" t="inlineStr">
        <is>
          <t>Q3</t>
        </is>
      </c>
      <c r="R5" s="13" t="inlineStr">
        <is>
          <t>Q4</t>
        </is>
      </c>
      <c r="S5" s="14" t="inlineStr">
        <is>
          <t>FY</t>
        </is>
      </c>
      <c r="T5" s="3" t="n"/>
      <c r="U5" s="12" t="inlineStr">
        <is>
          <t>Q1</t>
        </is>
      </c>
      <c r="V5" s="13" t="inlineStr">
        <is>
          <t>Q2</t>
        </is>
      </c>
      <c r="W5" s="13" t="inlineStr">
        <is>
          <t>Q3</t>
        </is>
      </c>
      <c r="X5" s="13" t="inlineStr">
        <is>
          <t>Q4</t>
        </is>
      </c>
      <c r="Y5" s="14" t="inlineStr">
        <is>
          <t>FY</t>
        </is>
      </c>
    </row>
    <row r="6" ht="21" customHeight="1">
      <c r="A6" s="8" t="inlineStr">
        <is>
          <t>Sales</t>
        </is>
      </c>
      <c r="B6" s="15" t="n"/>
      <c r="C6" s="16" t="n">
        <v>527</v>
      </c>
      <c r="D6" s="17" t="n">
        <v>559</v>
      </c>
      <c r="E6" s="17" t="n">
        <v>524</v>
      </c>
      <c r="F6" s="18" t="n">
        <v>1096</v>
      </c>
      <c r="G6" s="19">
        <f>SUM(C6:F6)</f>
        <v/>
      </c>
      <c r="H6" s="20" t="n"/>
      <c r="I6" s="16" t="n">
        <v>373</v>
      </c>
      <c r="J6" s="17" t="n">
        <v>328</v>
      </c>
      <c r="K6" s="17" t="n">
        <v>622</v>
      </c>
      <c r="L6" s="17" t="n">
        <v>709</v>
      </c>
      <c r="M6" s="19">
        <f>SUM(I6:L6)</f>
        <v/>
      </c>
      <c r="N6" s="20" t="n"/>
      <c r="O6" s="16" t="n">
        <v>452</v>
      </c>
      <c r="P6" s="17" t="n">
        <v>529</v>
      </c>
      <c r="Q6" s="17" t="n">
        <v>452</v>
      </c>
      <c r="R6" s="17" t="n">
        <v>683</v>
      </c>
      <c r="S6" s="19">
        <f>SUM(O6:R6)</f>
        <v/>
      </c>
      <c r="T6" s="21" t="n"/>
      <c r="U6" s="16" t="n">
        <v>399</v>
      </c>
      <c r="V6" s="17" t="n">
        <v>470</v>
      </c>
      <c r="W6" s="22" t="n">
        <v>497</v>
      </c>
      <c r="X6" s="22" t="n"/>
      <c r="Y6" s="23" t="n"/>
    </row>
    <row r="7" ht="21" customHeight="1">
      <c r="A7" s="24" t="inlineStr">
        <is>
          <t>o/w Residential</t>
        </is>
      </c>
      <c r="B7" s="25" t="n"/>
      <c r="C7" s="26" t="n">
        <v>494</v>
      </c>
      <c r="D7" s="27" t="n">
        <v>529</v>
      </c>
      <c r="E7" s="27" t="n">
        <v>496</v>
      </c>
      <c r="F7" s="27" t="n">
        <v>717</v>
      </c>
      <c r="G7" s="28">
        <f>SUM(C7:F7)</f>
        <v/>
      </c>
      <c r="H7" s="21" t="n"/>
      <c r="I7" s="26" t="n">
        <v>336</v>
      </c>
      <c r="J7" s="27" t="n">
        <v>308</v>
      </c>
      <c r="K7" s="27" t="n">
        <v>495</v>
      </c>
      <c r="L7" s="27" t="n">
        <v>623</v>
      </c>
      <c r="M7" s="28">
        <f>SUM(I7:L7)</f>
        <v/>
      </c>
      <c r="N7" s="21" t="n"/>
      <c r="O7" s="26" t="n">
        <v>407</v>
      </c>
      <c r="P7" s="27" t="n">
        <v>486</v>
      </c>
      <c r="Q7" s="27" t="n">
        <v>418</v>
      </c>
      <c r="R7" s="27" t="n">
        <v>562</v>
      </c>
      <c r="S7" s="28">
        <f>SUM(O7:R7)</f>
        <v/>
      </c>
      <c r="T7" s="3" t="n"/>
      <c r="U7" s="26" t="n">
        <v>386</v>
      </c>
      <c r="V7" s="27" t="n">
        <v>456</v>
      </c>
      <c r="W7" s="27" t="n">
        <v>386</v>
      </c>
      <c r="X7" s="29" t="n"/>
      <c r="Y7" s="28">
        <f>SUM(U7:X7)</f>
        <v/>
      </c>
    </row>
    <row r="8" ht="21" customHeight="1">
      <c r="A8" s="24" t="inlineStr">
        <is>
          <t>o/w Commercial</t>
        </is>
      </c>
      <c r="B8" s="24" t="n"/>
      <c r="C8" s="26" t="n">
        <v>33</v>
      </c>
      <c r="D8" s="27" t="n">
        <v>30</v>
      </c>
      <c r="E8" s="27" t="n">
        <v>28</v>
      </c>
      <c r="F8" s="27" t="n">
        <v>379</v>
      </c>
      <c r="G8" s="30">
        <f>SUM(C8:F8)</f>
        <v/>
      </c>
      <c r="H8" s="31" t="n"/>
      <c r="I8" s="26" t="n">
        <v>37</v>
      </c>
      <c r="J8" s="27" t="n">
        <v>20</v>
      </c>
      <c r="K8" s="27" t="n">
        <v>127</v>
      </c>
      <c r="L8" s="27" t="n">
        <v>86</v>
      </c>
      <c r="M8" s="30">
        <f>SUM(I8:L8)</f>
        <v/>
      </c>
      <c r="N8" s="31" t="n"/>
      <c r="O8" s="32" t="n">
        <v>45</v>
      </c>
      <c r="P8" s="33" t="n">
        <v>43</v>
      </c>
      <c r="Q8" s="33" t="n">
        <v>34</v>
      </c>
      <c r="R8" s="33" t="n">
        <v>121</v>
      </c>
      <c r="S8" s="30">
        <f>SUM(O8:R8)</f>
        <v/>
      </c>
      <c r="T8" s="31" t="n"/>
      <c r="U8" s="32" t="n">
        <v>13</v>
      </c>
      <c r="V8" s="33" t="n">
        <v>14</v>
      </c>
      <c r="W8" s="33" t="n">
        <v>111</v>
      </c>
      <c r="X8" s="31" t="n"/>
      <c r="Y8" s="30">
        <f>SUM(U8:X8)</f>
        <v/>
      </c>
    </row>
    <row r="9" ht="21" customHeight="1">
      <c r="A9" s="8" t="inlineStr">
        <is>
          <t>Current operating profit</t>
        </is>
      </c>
      <c r="B9" s="34" t="n"/>
      <c r="C9" s="16" t="n">
        <v>14</v>
      </c>
      <c r="D9" s="17" t="n">
        <v>15</v>
      </c>
      <c r="E9" s="17" t="n">
        <v>13</v>
      </c>
      <c r="F9" s="17" t="n">
        <v>57</v>
      </c>
      <c r="G9" s="30">
        <f>SUM(C9:F9)</f>
        <v/>
      </c>
      <c r="H9" s="18" t="n"/>
      <c r="I9" s="16" t="n">
        <v>-16</v>
      </c>
      <c r="J9" s="17" t="n">
        <v>-22</v>
      </c>
      <c r="K9" s="17" t="n">
        <v>28</v>
      </c>
      <c r="L9" s="17" t="n">
        <v>22</v>
      </c>
      <c r="M9" s="30">
        <f>SUM(I9:L9)</f>
        <v/>
      </c>
      <c r="N9" s="18" t="n"/>
      <c r="O9" s="16" t="n">
        <v>4</v>
      </c>
      <c r="P9" s="17" t="n">
        <v>13</v>
      </c>
      <c r="Q9" s="17" t="n">
        <v>10</v>
      </c>
      <c r="R9" s="17" t="n">
        <v>16</v>
      </c>
      <c r="S9" s="30">
        <f>SUM(O9:R9)</f>
        <v/>
      </c>
      <c r="T9" s="22" t="n"/>
      <c r="U9" s="35" t="n">
        <v>0</v>
      </c>
      <c r="V9" s="17" t="n">
        <v>16</v>
      </c>
      <c r="W9" s="22" t="n">
        <v>1</v>
      </c>
      <c r="X9" s="22" t="n"/>
      <c r="Y9" s="36" t="n"/>
    </row>
    <row r="10" ht="21" customHeight="1">
      <c r="A10" s="37" t="inlineStr">
        <is>
          <t>Current operating margin</t>
        </is>
      </c>
      <c r="B10" s="38" t="n"/>
      <c r="C10" s="39" t="inlineStr">
        <is>
          <t>2.7%</t>
        </is>
      </c>
      <c r="D10" s="40" t="inlineStr">
        <is>
          <t>2.7%</t>
        </is>
      </c>
      <c r="E10" s="40" t="inlineStr">
        <is>
          <t>2.5%</t>
        </is>
      </c>
      <c r="F10" s="40" t="inlineStr">
        <is>
          <t>5.2%</t>
        </is>
      </c>
      <c r="G10" s="41" t="inlineStr">
        <is>
          <t>3.7%</t>
        </is>
      </c>
      <c r="H10" s="42" t="n"/>
      <c r="I10" s="39" t="inlineStr">
        <is>
          <t>(4.3%)</t>
        </is>
      </c>
      <c r="J10" s="40" t="inlineStr">
        <is>
          <t>(6.7%)</t>
        </is>
      </c>
      <c r="K10" s="40" t="inlineStr">
        <is>
          <t>4.5%</t>
        </is>
      </c>
      <c r="L10" s="40" t="inlineStr">
        <is>
          <t>3.1%</t>
        </is>
      </c>
      <c r="M10" s="41" t="inlineStr">
        <is>
          <t>0.6%</t>
        </is>
      </c>
      <c r="N10" s="42" t="n"/>
      <c r="O10" s="39" t="inlineStr">
        <is>
          <t>0.9%</t>
        </is>
      </c>
      <c r="P10" s="40" t="inlineStr">
        <is>
          <t>2.5%</t>
        </is>
      </c>
      <c r="Q10" s="40" t="inlineStr">
        <is>
          <t>2.2%</t>
        </is>
      </c>
      <c r="R10" s="40" t="inlineStr">
        <is>
          <t>2.3%</t>
        </is>
      </c>
      <c r="S10" s="41" t="inlineStr">
        <is>
          <t>2.0%</t>
        </is>
      </c>
      <c r="T10" s="42" t="n"/>
      <c r="U10" s="39" t="inlineStr">
        <is>
          <t>0.0%</t>
        </is>
      </c>
      <c r="V10" s="40" t="inlineStr">
        <is>
          <t>3.4%</t>
        </is>
      </c>
      <c r="W10" s="40" t="inlineStr">
        <is>
          <t>0.2%</t>
        </is>
      </c>
      <c r="X10" s="40" t="n"/>
      <c r="Y10" s="41" t="n"/>
    </row>
    <row r="11" ht="21" customHeight="1">
      <c r="A11" s="8" t="inlineStr">
        <is>
          <t>Operating profit</t>
        </is>
      </c>
      <c r="B11" s="43" t="n"/>
      <c r="C11" s="44" t="n">
        <v>14</v>
      </c>
      <c r="D11" s="45" t="n">
        <v>15</v>
      </c>
      <c r="E11" s="45" t="n">
        <v>13</v>
      </c>
      <c r="F11" s="45" t="n">
        <v>57</v>
      </c>
      <c r="G11" s="46">
        <f>SUM(C11:F11)</f>
        <v/>
      </c>
      <c r="H11" s="22" t="n"/>
      <c r="I11" s="44" t="n">
        <v>-16</v>
      </c>
      <c r="J11" s="45" t="n">
        <v>-22</v>
      </c>
      <c r="K11" s="45" t="n">
        <v>28</v>
      </c>
      <c r="L11" s="45" t="n">
        <v>5</v>
      </c>
      <c r="M11" s="46">
        <f>SUM(I11:L11)</f>
        <v/>
      </c>
      <c r="N11" s="22" t="n"/>
      <c r="O11" s="47" t="n">
        <v>0</v>
      </c>
      <c r="P11" s="45" t="n">
        <v>11</v>
      </c>
      <c r="Q11" s="45" t="n">
        <v>10</v>
      </c>
      <c r="R11" s="45" t="n">
        <v>14</v>
      </c>
      <c r="S11" s="46">
        <f>SUM(O11:R11)</f>
        <v/>
      </c>
      <c r="T11" s="22" t="n"/>
      <c r="U11" s="47" t="n">
        <v>0</v>
      </c>
      <c r="V11" s="45" t="n">
        <v>16</v>
      </c>
      <c r="W11" s="48" t="n">
        <v>1</v>
      </c>
      <c r="X11" s="48" t="n"/>
      <c r="Y11" s="49" t="n"/>
    </row>
    <row r="12" ht="4.5" customHeight="1">
      <c r="A12" s="2" t="n"/>
      <c r="B12" s="2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>
      <c r="A13" s="8" t="inlineStr">
        <is>
          <t>Net capital expenditure</t>
        </is>
      </c>
      <c r="B13" s="8" t="n"/>
      <c r="C13" s="50" t="n">
        <v>-2</v>
      </c>
      <c r="D13" s="51" t="n">
        <v>-4</v>
      </c>
      <c r="E13" s="51" t="n">
        <v>-1</v>
      </c>
      <c r="F13" s="51" t="n">
        <v>-4</v>
      </c>
      <c r="G13" s="52">
        <f>SUM(C13:F13)</f>
        <v/>
      </c>
      <c r="H13" s="53" t="n"/>
      <c r="I13" s="50" t="n">
        <v>-2</v>
      </c>
      <c r="J13" s="13" t="n">
        <v>0</v>
      </c>
      <c r="K13" s="51" t="n">
        <v>-1</v>
      </c>
      <c r="L13" s="51" t="n">
        <v>-2</v>
      </c>
      <c r="M13" s="52">
        <f>SUM(I13:L13)</f>
        <v/>
      </c>
      <c r="N13" s="53" t="n"/>
      <c r="O13" s="50" t="n">
        <v>-1</v>
      </c>
      <c r="P13" s="51" t="n">
        <v>-1</v>
      </c>
      <c r="Q13" s="51" t="n">
        <v>-2</v>
      </c>
      <c r="R13" s="51" t="n">
        <v>-2</v>
      </c>
      <c r="S13" s="52">
        <f>SUM(O13:R13)</f>
        <v/>
      </c>
      <c r="T13" s="53" t="n"/>
      <c r="U13" s="54" t="n">
        <v>0</v>
      </c>
      <c r="V13" s="51" t="n">
        <v>-1</v>
      </c>
      <c r="W13" s="51" t="n">
        <v>-1</v>
      </c>
      <c r="X13" s="55" t="n"/>
      <c r="Y13" s="56" t="n"/>
    </row>
    <row r="14" ht="4.5" customHeight="1">
      <c r="A14" s="2" t="n"/>
      <c r="B14" s="2" t="n"/>
      <c r="C14" s="3" t="n"/>
      <c r="D14" s="3" t="n"/>
      <c r="E14" s="3" t="n"/>
      <c r="F14" s="3" t="n"/>
      <c r="G14" s="3" t="n"/>
      <c r="H14" s="3" t="n"/>
      <c r="I14" s="3" t="n"/>
      <c r="J14" s="57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>
      <c r="A15" s="8" t="inlineStr">
        <is>
          <t>Free Cash Flow</t>
        </is>
      </c>
      <c r="B15" s="8" t="n"/>
      <c r="C15" s="50" t="n">
        <v>-5</v>
      </c>
      <c r="D15" s="51" t="n">
        <v>-15</v>
      </c>
      <c r="E15" s="55" t="n">
        <v>0</v>
      </c>
      <c r="F15" s="55" t="n">
        <v>120</v>
      </c>
      <c r="G15" s="52">
        <f>SUM(C15:F15)</f>
        <v/>
      </c>
      <c r="H15" s="53" t="n"/>
      <c r="I15" s="50" t="n">
        <v>-28</v>
      </c>
      <c r="J15" s="51" t="n">
        <v>-22</v>
      </c>
      <c r="K15" s="55" t="n">
        <v>32</v>
      </c>
      <c r="L15" s="55" t="n">
        <v>0</v>
      </c>
      <c r="M15" s="52">
        <f>SUM(I15:L15)</f>
        <v/>
      </c>
      <c r="N15" s="53" t="n"/>
      <c r="O15" s="54" t="n">
        <v>4</v>
      </c>
      <c r="P15" s="55" t="n">
        <v>8</v>
      </c>
      <c r="Q15" s="55" t="n">
        <v>8</v>
      </c>
      <c r="R15" s="55" t="n">
        <v>16</v>
      </c>
      <c r="S15" s="52">
        <f>SUM(O15:R15)</f>
        <v/>
      </c>
      <c r="T15" s="53" t="n"/>
      <c r="U15" s="54" t="n">
        <v>0</v>
      </c>
      <c r="V15" s="55" t="n">
        <v>17</v>
      </c>
      <c r="W15" s="51" t="n">
        <v>-4</v>
      </c>
      <c r="X15" s="55" t="n"/>
      <c r="Y15" s="56" t="n"/>
    </row>
    <row r="16">
      <c r="A16" s="2" t="n"/>
      <c r="B16" s="2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19.5" customHeight="1">
      <c r="A17" s="4" t="inlineStr">
        <is>
          <t>Business Indicators</t>
        </is>
      </c>
      <c r="B17" s="2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19.5" customHeight="1">
      <c r="A18" s="2" t="n"/>
      <c r="B18" s="2" t="n"/>
      <c r="C18" s="5" t="n">
        <v>2019</v>
      </c>
      <c r="D18" s="6" t="n"/>
      <c r="E18" s="6" t="n"/>
      <c r="F18" s="6" t="n"/>
      <c r="G18" s="7" t="n"/>
      <c r="H18" s="3" t="n"/>
      <c r="I18" s="5" t="n">
        <v>2020</v>
      </c>
      <c r="J18" s="6" t="n"/>
      <c r="K18" s="6" t="n"/>
      <c r="L18" s="6" t="n"/>
      <c r="M18" s="7" t="n"/>
      <c r="N18" s="3" t="n"/>
      <c r="O18" s="5" t="n">
        <v>2021</v>
      </c>
      <c r="P18" s="6" t="n"/>
      <c r="Q18" s="6" t="n"/>
      <c r="R18" s="6" t="n"/>
      <c r="S18" s="7" t="n"/>
      <c r="T18" s="3" t="n"/>
      <c r="U18" s="5" t="n">
        <v>2022</v>
      </c>
      <c r="V18" s="6" t="n"/>
      <c r="W18" s="6" t="n"/>
      <c r="X18" s="6" t="n"/>
      <c r="Y18" s="7" t="n"/>
    </row>
    <row r="19" ht="22.5" customHeight="1">
      <c r="A19" s="8" t="inlineStr">
        <is>
          <t>€m</t>
        </is>
      </c>
      <c r="B19" s="2" t="n"/>
      <c r="C19" s="9" t="inlineStr">
        <is>
          <t>Q1</t>
        </is>
      </c>
      <c r="D19" s="10" t="inlineStr">
        <is>
          <t>Q2</t>
        </is>
      </c>
      <c r="E19" s="10" t="inlineStr">
        <is>
          <t>Q3</t>
        </is>
      </c>
      <c r="F19" s="10" t="inlineStr">
        <is>
          <t>Q4</t>
        </is>
      </c>
      <c r="G19" s="11" t="inlineStr">
        <is>
          <t>FY</t>
        </is>
      </c>
      <c r="H19" s="3" t="n"/>
      <c r="I19" s="9" t="inlineStr">
        <is>
          <t>Q1</t>
        </is>
      </c>
      <c r="J19" s="10" t="inlineStr">
        <is>
          <t>Q2</t>
        </is>
      </c>
      <c r="K19" s="10" t="inlineStr">
        <is>
          <t>Q3</t>
        </is>
      </c>
      <c r="L19" s="10" t="inlineStr">
        <is>
          <t>Q4</t>
        </is>
      </c>
      <c r="M19" s="11" t="inlineStr">
        <is>
          <t>FY</t>
        </is>
      </c>
      <c r="N19" s="3" t="n"/>
      <c r="O19" s="9" t="inlineStr">
        <is>
          <t>Q1</t>
        </is>
      </c>
      <c r="P19" s="10" t="inlineStr">
        <is>
          <t>Q2</t>
        </is>
      </c>
      <c r="Q19" s="10" t="inlineStr">
        <is>
          <t>Q3</t>
        </is>
      </c>
      <c r="R19" s="10" t="inlineStr">
        <is>
          <t>Q4</t>
        </is>
      </c>
      <c r="S19" s="11" t="inlineStr">
        <is>
          <t>FY</t>
        </is>
      </c>
      <c r="T19" s="3" t="n"/>
      <c r="U19" s="9" t="inlineStr">
        <is>
          <t>Q1</t>
        </is>
      </c>
      <c r="V19" s="10" t="inlineStr">
        <is>
          <t>Q2</t>
        </is>
      </c>
      <c r="W19" s="10" t="inlineStr">
        <is>
          <t>Q3</t>
        </is>
      </c>
      <c r="X19" s="10" t="inlineStr">
        <is>
          <t>Q4</t>
        </is>
      </c>
      <c r="Y19" s="11" t="inlineStr">
        <is>
          <t>FY</t>
        </is>
      </c>
    </row>
    <row r="20" ht="21" customHeight="1">
      <c r="A20" s="8" t="inlineStr">
        <is>
          <t>RESERVATIONS (€m)</t>
        </is>
      </c>
      <c r="B20" s="25" t="n"/>
      <c r="C20" s="16" t="n">
        <v>482</v>
      </c>
      <c r="D20" s="17" t="n">
        <v>507</v>
      </c>
      <c r="E20" s="17" t="n">
        <v>463</v>
      </c>
      <c r="F20" s="18" t="n">
        <v>1247</v>
      </c>
      <c r="G20" s="19">
        <f>SUM(C20:F20)</f>
        <v/>
      </c>
      <c r="H20" s="21" t="n"/>
      <c r="I20" s="16" t="n">
        <v>390</v>
      </c>
      <c r="J20" s="17" t="n">
        <v>502</v>
      </c>
      <c r="K20" s="17" t="n">
        <v>406</v>
      </c>
      <c r="L20" s="17" t="n">
        <v>539</v>
      </c>
      <c r="M20" s="19">
        <f>SUM(I20:L20)</f>
        <v/>
      </c>
      <c r="N20" s="21" t="n"/>
      <c r="O20" s="16" t="n">
        <v>452</v>
      </c>
      <c r="P20" s="17" t="n">
        <v>581</v>
      </c>
      <c r="Q20" s="17" t="n">
        <v>362</v>
      </c>
      <c r="R20" s="17" t="n">
        <v>690</v>
      </c>
      <c r="S20" s="19">
        <f>SUM(O20:R20)</f>
        <v/>
      </c>
      <c r="T20" s="21" t="n"/>
      <c r="U20" s="16" t="n">
        <v>400</v>
      </c>
      <c r="V20" s="22" t="n">
        <v>493</v>
      </c>
      <c r="W20" s="58" t="n">
        <v>424</v>
      </c>
      <c r="X20" s="22" t="n"/>
      <c r="Y20" s="23" t="n"/>
    </row>
    <row r="21" ht="21" customHeight="1">
      <c r="A21" s="37" t="inlineStr">
        <is>
          <t>- of which residential property</t>
        </is>
      </c>
      <c r="B21" s="25" t="n"/>
      <c r="C21" s="59" t="n">
        <v>462</v>
      </c>
      <c r="D21" s="60" t="n">
        <v>502</v>
      </c>
      <c r="E21" s="60" t="n">
        <v>444</v>
      </c>
      <c r="F21" s="60" t="n">
        <v>666</v>
      </c>
      <c r="G21" s="28">
        <f>SUM(C21:F21)</f>
        <v/>
      </c>
      <c r="H21" s="21" t="n"/>
      <c r="I21" s="59" t="n">
        <v>388</v>
      </c>
      <c r="J21" s="60" t="n">
        <v>499</v>
      </c>
      <c r="K21" s="60" t="n">
        <v>290</v>
      </c>
      <c r="L21" s="60" t="n">
        <v>412</v>
      </c>
      <c r="M21" s="28">
        <f>SUM(I21:L21)</f>
        <v/>
      </c>
      <c r="N21" s="21" t="n"/>
      <c r="O21" s="59" t="n">
        <v>443</v>
      </c>
      <c r="P21" s="60" t="n">
        <v>529</v>
      </c>
      <c r="Q21" s="60" t="n">
        <v>354</v>
      </c>
      <c r="R21" s="60" t="n">
        <v>523</v>
      </c>
      <c r="S21" s="28">
        <f>SUM(O21:R21)</f>
        <v/>
      </c>
      <c r="T21" s="21" t="n"/>
      <c r="U21" s="59" t="n">
        <v>395</v>
      </c>
      <c r="V21" s="27" t="n">
        <v>473</v>
      </c>
      <c r="W21" s="61" t="n">
        <v>276</v>
      </c>
      <c r="X21" s="27" t="n"/>
      <c r="Y21" s="36" t="n"/>
    </row>
    <row r="22" ht="21" customHeight="1">
      <c r="A22" s="37" t="inlineStr">
        <is>
          <t>- of which commercial property</t>
        </is>
      </c>
      <c r="B22" s="25" t="n"/>
      <c r="C22" s="62" t="n">
        <v>20</v>
      </c>
      <c r="D22" s="63" t="n">
        <v>5</v>
      </c>
      <c r="E22" s="63" t="n">
        <v>19</v>
      </c>
      <c r="F22" s="63" t="n">
        <v>581</v>
      </c>
      <c r="G22" s="64">
        <f>SUM(C22:F22)</f>
        <v/>
      </c>
      <c r="H22" s="21" t="n"/>
      <c r="I22" s="62" t="n">
        <v>2</v>
      </c>
      <c r="J22" s="63" t="n">
        <v>3</v>
      </c>
      <c r="K22" s="63" t="n">
        <v>116</v>
      </c>
      <c r="L22" s="63" t="n">
        <v>127</v>
      </c>
      <c r="M22" s="64">
        <f>SUM(I22:L22)</f>
        <v/>
      </c>
      <c r="N22" s="21" t="n"/>
      <c r="O22" s="62" t="n">
        <v>9</v>
      </c>
      <c r="P22" s="63" t="n">
        <v>52</v>
      </c>
      <c r="Q22" s="63" t="n">
        <v>8</v>
      </c>
      <c r="R22" s="63" t="n">
        <v>167</v>
      </c>
      <c r="S22" s="64">
        <f>SUM(O22:R22)</f>
        <v/>
      </c>
      <c r="T22" s="21" t="n"/>
      <c r="U22" s="62" t="n">
        <v>5</v>
      </c>
      <c r="V22" s="65" t="n">
        <v>20</v>
      </c>
      <c r="W22" s="66" t="n">
        <v>148</v>
      </c>
      <c r="X22" s="65" t="n"/>
      <c r="Y22" s="67" t="n"/>
    </row>
    <row r="23" ht="22.5" customHeight="1">
      <c r="A23" s="2" t="n"/>
      <c r="B23" s="2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>
      <c r="A24" s="2" t="n"/>
      <c r="B24" s="2" t="n"/>
      <c r="C24" s="68" t="n">
        <v>2019</v>
      </c>
      <c r="D24" s="69" t="n"/>
      <c r="E24" s="69" t="n"/>
      <c r="F24" s="70" t="n"/>
      <c r="G24" s="3" t="n"/>
      <c r="H24" s="3" t="n"/>
      <c r="I24" s="71" t="n">
        <v>2020</v>
      </c>
      <c r="M24" s="3" t="n"/>
      <c r="N24" s="3" t="n"/>
      <c r="O24" s="68" t="n">
        <v>2021</v>
      </c>
      <c r="P24" s="69" t="n"/>
      <c r="Q24" s="69" t="n"/>
      <c r="R24" s="70" t="n"/>
      <c r="S24" s="3" t="n"/>
      <c r="T24" s="3" t="n"/>
      <c r="U24" s="68" t="n">
        <v>2022</v>
      </c>
      <c r="V24" s="69" t="n"/>
      <c r="W24" s="69" t="n"/>
      <c r="X24" s="70" t="n"/>
      <c r="Y24" s="3" t="n"/>
    </row>
    <row r="25" ht="19.5" customHeight="1">
      <c r="A25" s="2" t="n"/>
      <c r="B25" s="2" t="n"/>
      <c r="C25" s="12" t="inlineStr">
        <is>
          <t>End Mar.</t>
        </is>
      </c>
      <c r="D25" s="13" t="inlineStr">
        <is>
          <t>End June</t>
        </is>
      </c>
      <c r="E25" s="13" t="inlineStr">
        <is>
          <t>End Sept.</t>
        </is>
      </c>
      <c r="F25" s="72" t="inlineStr">
        <is>
          <t>End Dec.</t>
        </is>
      </c>
      <c r="G25" s="3" t="n"/>
      <c r="H25" s="3" t="n"/>
      <c r="I25" s="9" t="inlineStr">
        <is>
          <t>End Mar.</t>
        </is>
      </c>
      <c r="J25" s="10" t="inlineStr">
        <is>
          <t>End June</t>
        </is>
      </c>
      <c r="K25" s="10" t="inlineStr">
        <is>
          <t>End Sept.</t>
        </is>
      </c>
      <c r="L25" s="73" t="inlineStr">
        <is>
          <t>End Dec.</t>
        </is>
      </c>
      <c r="M25" s="3" t="n"/>
      <c r="N25" s="3" t="n"/>
      <c r="O25" s="9" t="inlineStr">
        <is>
          <t>End Mar.</t>
        </is>
      </c>
      <c r="P25" s="10" t="inlineStr">
        <is>
          <t>End June</t>
        </is>
      </c>
      <c r="Q25" s="10" t="inlineStr">
        <is>
          <t>End Sept.</t>
        </is>
      </c>
      <c r="R25" s="73" t="inlineStr">
        <is>
          <t>End Dec.</t>
        </is>
      </c>
      <c r="S25" s="3" t="n"/>
      <c r="T25" s="3" t="n"/>
      <c r="U25" s="9" t="inlineStr">
        <is>
          <t>End Mar.</t>
        </is>
      </c>
      <c r="V25" s="10" t="inlineStr">
        <is>
          <t>End June</t>
        </is>
      </c>
      <c r="W25" s="10" t="inlineStr">
        <is>
          <t>End Sept.</t>
        </is>
      </c>
      <c r="X25" s="73" t="inlineStr">
        <is>
          <t>End Dec.</t>
        </is>
      </c>
      <c r="Y25" s="3" t="n"/>
    </row>
    <row r="26" ht="21" customHeight="1">
      <c r="A26" s="8" t="inlineStr">
        <is>
          <t>ORDER BOOK (€m)</t>
        </is>
      </c>
      <c r="B26" s="15" t="n"/>
      <c r="C26" s="74" t="n">
        <v>2409</v>
      </c>
      <c r="D26" s="18" t="n">
        <v>2304</v>
      </c>
      <c r="E26" s="18" t="n">
        <v>2245</v>
      </c>
      <c r="F26" s="75" t="n">
        <v>2213</v>
      </c>
      <c r="G26" s="20" t="n"/>
      <c r="H26" s="20" t="n"/>
      <c r="I26" s="74" t="n">
        <v>2222</v>
      </c>
      <c r="J26" s="18" t="n">
        <v>2386</v>
      </c>
      <c r="K26" s="18" t="n">
        <v>2192</v>
      </c>
      <c r="L26" s="75" t="n">
        <v>1981</v>
      </c>
      <c r="M26" s="20" t="n"/>
      <c r="N26" s="20" t="n"/>
      <c r="O26" s="74" t="n">
        <v>1970</v>
      </c>
      <c r="P26" s="18" t="n">
        <v>1954</v>
      </c>
      <c r="Q26" s="18" t="n">
        <v>1872</v>
      </c>
      <c r="R26" s="75" t="n">
        <v>1739</v>
      </c>
      <c r="S26" s="21" t="n"/>
      <c r="T26" s="21" t="n"/>
      <c r="U26" s="74" t="n">
        <v>1717</v>
      </c>
      <c r="V26" s="18" t="n">
        <v>1713</v>
      </c>
      <c r="W26" s="18" t="n">
        <v>1578</v>
      </c>
      <c r="X26" s="76" t="n">
        <v>0</v>
      </c>
      <c r="Y26" s="3" t="n"/>
    </row>
    <row r="27" ht="21" customHeight="1">
      <c r="A27" s="37" t="inlineStr">
        <is>
          <t>- of which residential property</t>
        </is>
      </c>
      <c r="B27" s="15" t="n"/>
      <c r="C27" s="77" t="n">
        <v>2163</v>
      </c>
      <c r="D27" s="78" t="n">
        <v>2095</v>
      </c>
      <c r="E27" s="78" t="n">
        <v>2057</v>
      </c>
      <c r="F27" s="79" t="n">
        <v>1964</v>
      </c>
      <c r="G27" s="20" t="n"/>
      <c r="H27" s="20" t="n"/>
      <c r="I27" s="77" t="n">
        <v>2016</v>
      </c>
      <c r="J27" s="78" t="n">
        <v>2201</v>
      </c>
      <c r="K27" s="78" t="n">
        <v>2006</v>
      </c>
      <c r="L27" s="79" t="n">
        <v>1789</v>
      </c>
      <c r="M27" s="20" t="n"/>
      <c r="N27" s="20" t="n"/>
      <c r="O27" s="77" t="n">
        <v>1855</v>
      </c>
      <c r="P27" s="78" t="n">
        <v>1878</v>
      </c>
      <c r="Q27" s="78" t="n">
        <v>1824</v>
      </c>
      <c r="R27" s="79" t="n">
        <v>1709</v>
      </c>
      <c r="S27" s="21" t="n"/>
      <c r="T27" s="21" t="n"/>
      <c r="U27" s="77" t="n">
        <v>1694</v>
      </c>
      <c r="V27" s="78" t="n">
        <v>1684</v>
      </c>
      <c r="W27" s="78" t="n">
        <v>1557</v>
      </c>
      <c r="X27" s="80" t="n">
        <v>0</v>
      </c>
      <c r="Y27" s="3" t="n"/>
    </row>
    <row r="28" ht="21" customHeight="1">
      <c r="A28" s="37" t="inlineStr">
        <is>
          <t>- of which commercial property</t>
        </is>
      </c>
      <c r="B28" s="25" t="n"/>
      <c r="C28" s="81" t="n">
        <v>246</v>
      </c>
      <c r="D28" s="65" t="n">
        <v>209</v>
      </c>
      <c r="E28" s="65" t="n">
        <v>187</v>
      </c>
      <c r="F28" s="82" t="n">
        <v>248</v>
      </c>
      <c r="G28" s="21" t="n"/>
      <c r="H28" s="21" t="n"/>
      <c r="I28" s="81" t="n">
        <v>206</v>
      </c>
      <c r="J28" s="65" t="n">
        <v>185</v>
      </c>
      <c r="K28" s="65" t="n">
        <v>186</v>
      </c>
      <c r="L28" s="82" t="n">
        <v>192</v>
      </c>
      <c r="M28" s="21" t="n"/>
      <c r="N28" s="21" t="n"/>
      <c r="O28" s="81" t="n">
        <v>115</v>
      </c>
      <c r="P28" s="65" t="n">
        <v>75</v>
      </c>
      <c r="Q28" s="65" t="n">
        <v>48</v>
      </c>
      <c r="R28" s="82" t="n">
        <v>30</v>
      </c>
      <c r="S28" s="21" t="n"/>
      <c r="T28" s="21" t="n"/>
      <c r="U28" s="81" t="n">
        <v>23</v>
      </c>
      <c r="V28" s="65" t="n">
        <v>29</v>
      </c>
      <c r="W28" s="65" t="n">
        <v>21</v>
      </c>
      <c r="X28" s="82" t="n">
        <v>0</v>
      </c>
      <c r="Y28" s="3" t="n"/>
    </row>
    <row r="29">
      <c r="A29" s="2" t="n"/>
      <c r="B29" s="2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>
      <c r="A30" s="2" t="n"/>
      <c r="B30" s="2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>
      <c r="A31" s="83" t="inlineStr">
        <is>
          <t>Note :   - all figures are at business areas level.</t>
        </is>
      </c>
      <c r="B31" s="2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>
      <c r="A32" s="83" t="inlineStr">
        <is>
          <t xml:space="preserve">            - all figures are as reported</t>
        </is>
      </c>
      <c r="B32" s="2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</sheetData>
  <mergeCells count="12">
    <mergeCell ref="I18:M18"/>
    <mergeCell ref="I4:M4"/>
    <mergeCell ref="C4:G4"/>
    <mergeCell ref="U18:Y18"/>
    <mergeCell ref="O18:S18"/>
    <mergeCell ref="I24:L24"/>
    <mergeCell ref="C24:F24"/>
    <mergeCell ref="O24:R24"/>
    <mergeCell ref="C18:G18"/>
    <mergeCell ref="U4:Y4"/>
    <mergeCell ref="O4:S4"/>
    <mergeCell ref="U24:X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2026-05-04T14:17:28Z</dcterms:created>
  <dcterms:modified xsi:type="dcterms:W3CDTF">2026-05-04T14:17:29Z</dcterms:modified>
</cp:coreProperties>
</file>